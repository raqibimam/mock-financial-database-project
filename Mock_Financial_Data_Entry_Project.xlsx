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 (Unverified)" sheetId="2" state="visible" r:id="rId4"/>
    <sheet name="Cleaned Data (ANSWER KEY)" sheetId="3" state="visible" r:id="rId5"/>
    <sheet name="Error Log (ANSWER KEY)" sheetId="4" state="visible" r:id="rId6"/>
  </sheets>
  <definedNames>
    <definedName function="false" hidden="true" localSheetId="2" name="_xlnm._FilterDatabase" vbProcedure="false">'Cleaned Data (ANSWER KEY)'!$A$1:$J$321</definedName>
    <definedName function="false" hidden="true" localSheetId="3" name="_xlnm._FilterDatabase" vbProcedure="false">'Error Log (ANSWER KEY)'!$A$1:$E$42</definedName>
    <definedName function="false" hidden="true" localSheetId="1" name="_xlnm._FilterDatabase" vbProcedure="false">'Raw Data (Unverified)'!$A$1:$M$321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<sst xmlns="http://schemas.openxmlformats.org/spreadsheetml/2006/main" count="4676" uniqueCount="752">
  <si>
    <t xml:space="preserve">Mock Financial Database Entry &amp; Verification Project</t>
  </si>
  <si>
    <t xml:space="preserve">PURPOSE</t>
  </si>
  <si>
    <t xml:space="preserve">This is a self-guided practice project for Data Entry Clerk / Data Entry Operator roles that involve financial data. It simulates entering, verifying, and cleaning vendor transaction records in an internal database — the core task described in most financial data entry job postings.</t>
  </si>
  <si>
    <t xml:space="preserve">WHAT'S IN THIS WORKBOOK</t>
  </si>
  <si>
    <t xml:space="preserve">1. Raw Data (Unverified) — 320 vendor transaction records as they were entered. About 40 of them contain a realistic data-entry error: missing fields, negative amounts, duplicate invoice numbers, inconsistent vendor names, out-of-range dates, or inconsistent text casing.</t>
  </si>
  <si>
    <t xml:space="preserve">2. Cleaned Data (ANSWER KEY) — the same 320 records after verification and correction. Use this only after you've done your own pass.</t>
  </si>
  <si>
    <t xml:space="preserve">3. Error Log (ANSWER KEY) — a list of every error that was deliberately planted, with the field, the issue type, and the correct value.</t>
  </si>
  <si>
    <t xml:space="preserve">HOW TO PRACTICE</t>
  </si>
  <si>
    <t xml:space="preserve">Step 1 — Go to 'Raw Data (Unverified)' and review it row by row.</t>
  </si>
  <si>
    <t xml:space="preserve">Step 2 — Use the 'Flag' column to mark any row you believe has a problem, and note what's wrong in the 'Your Notes' column.</t>
  </si>
  <si>
    <t xml:space="preserve">Step 3 — Use the built-in 'Duplicate Invoice?' helper column (a COUNTIF formula) to catch duplicate invoice numbers automatically — this mirrors how a real database would flag conflicts.</t>
  </si>
  <si>
    <t xml:space="preserve">Step 4 — Sort/filter using the header AutoFilter to isolate blanks, negative amounts, or unusual entries.</t>
  </si>
  <si>
    <t xml:space="preserve">Step 5 — Once you've flagged what you can, compare your findings against 'Error Log (ANSWER KEY)' and 'Cleaned Data (ANSWER KEY)' to check your accuracy.</t>
  </si>
  <si>
    <t xml:space="preserve">Step 6 — Optional: rebuild 'Cleaned Data' yourself from scratch in a new sheet, typing in corrected values, to practice the actual data-entry motion.</t>
  </si>
  <si>
    <t xml:space="preserve">SKILLS THIS DEMONSTRATES</t>
  </si>
  <si>
    <t xml:space="preserve">• Accurate, high-volume data entry into a structured database</t>
  </si>
  <si>
    <t xml:space="preserve">• Verifying completeness and accuracy before/after entry</t>
  </si>
  <si>
    <t xml:space="preserve">• Identifying and resolving data entry issues (duplicates, missing fields, inconsistent formatting)</t>
  </si>
  <si>
    <t xml:space="preserve">• Maintaining organized, audit-ready financial records</t>
  </si>
  <si>
    <t xml:space="preserve">• Comfort with spreadsheet tools (formulas, filters, data validation)</t>
  </si>
  <si>
    <t xml:space="preserve">Tip: Time yourself on Step 1–4 and track your error-catch rate (errors you found ÷ 41 total). You can cite that accuracy % on your resume or in an interview.</t>
  </si>
  <si>
    <t xml:space="preserve">Transaction ID</t>
  </si>
  <si>
    <t xml:space="preserve">Date</t>
  </si>
  <si>
    <t xml:space="preserve">Vendor Name</t>
  </si>
  <si>
    <t xml:space="preserve">Invoice Number</t>
  </si>
  <si>
    <t xml:space="preserve">Category</t>
  </si>
  <si>
    <t xml:space="preserve">Amount</t>
  </si>
  <si>
    <t xml:space="preserve">Payment Method</t>
  </si>
  <si>
    <t xml:space="preserve">Status</t>
  </si>
  <si>
    <t xml:space="preserve">Approved By</t>
  </si>
  <si>
    <t xml:space="preserve">Notes</t>
  </si>
  <si>
    <t xml:space="preserve">Duplicate Invoice?</t>
  </si>
  <si>
    <t xml:space="preserve">Flag (Y/N)</t>
  </si>
  <si>
    <t xml:space="preserve">Your Notes</t>
  </si>
  <si>
    <t xml:space="preserve">TXN-1001</t>
  </si>
  <si>
    <t xml:space="preserve">Meridian IT Solutions</t>
  </si>
  <si>
    <t xml:space="preserve">INV-13278</t>
  </si>
  <si>
    <t xml:space="preserve">IT Services</t>
  </si>
  <si>
    <t xml:space="preserve">Wire Transfer</t>
  </si>
  <si>
    <t xml:space="preserve">Overdue</t>
  </si>
  <si>
    <t xml:space="preserve">J. Whitfield</t>
  </si>
  <si>
    <t xml:space="preserve">TXN-1002</t>
  </si>
  <si>
    <t xml:space="preserve">Beacon Travel Agency</t>
  </si>
  <si>
    <t xml:space="preserve">INV-21395</t>
  </si>
  <si>
    <t xml:space="preserve">Travel</t>
  </si>
  <si>
    <t xml:space="preserve">ACH</t>
  </si>
  <si>
    <t xml:space="preserve">Paid</t>
  </si>
  <si>
    <t xml:space="preserve">M. Alvarez</t>
  </si>
  <si>
    <t xml:space="preserve">TXN-1003</t>
  </si>
  <si>
    <t xml:space="preserve">Falcon Freight Co</t>
  </si>
  <si>
    <t xml:space="preserve">INV-76237</t>
  </si>
  <si>
    <t xml:space="preserve">Freight</t>
  </si>
  <si>
    <t xml:space="preserve">T. Novak</t>
  </si>
  <si>
    <t xml:space="preserve">TXN-1004</t>
  </si>
  <si>
    <t xml:space="preserve">Redwood Equipment Rentals</t>
  </si>
  <si>
    <t xml:space="preserve">INV-38893</t>
  </si>
  <si>
    <t xml:space="preserve">Equipment Rental</t>
  </si>
  <si>
    <t xml:space="preserve">S. Okafor</t>
  </si>
  <si>
    <t xml:space="preserve">TXN-1005</t>
  </si>
  <si>
    <t xml:space="preserve">Lighthouse Insurance</t>
  </si>
  <si>
    <t xml:space="preserve">INV-46421</t>
  </si>
  <si>
    <t xml:space="preserve">Insurance</t>
  </si>
  <si>
    <t xml:space="preserve">Check</t>
  </si>
  <si>
    <t xml:space="preserve">paid</t>
  </si>
  <si>
    <t xml:space="preserve">TXN-1006</t>
  </si>
  <si>
    <t xml:space="preserve">Vantage Cleaning Services</t>
  </si>
  <si>
    <t xml:space="preserve">INV-22676</t>
  </si>
  <si>
    <t xml:space="preserve">Cleaning</t>
  </si>
  <si>
    <t xml:space="preserve">TXN-1007</t>
  </si>
  <si>
    <t xml:space="preserve">INV-26361</t>
  </si>
  <si>
    <t xml:space="preserve">TXN-1008</t>
  </si>
  <si>
    <t xml:space="preserve">Pioneer Print &amp; Design</t>
  </si>
  <si>
    <t xml:space="preserve">INV-85674</t>
  </si>
  <si>
    <t xml:space="preserve">Printing</t>
  </si>
  <si>
    <t xml:space="preserve">TXN-1009</t>
  </si>
  <si>
    <t xml:space="preserve">Cascade Utilities</t>
  </si>
  <si>
    <t xml:space="preserve">INV-20458</t>
  </si>
  <si>
    <t xml:space="preserve">Utilities</t>
  </si>
  <si>
    <t xml:space="preserve">Credit Card</t>
  </si>
  <si>
    <t xml:space="preserve">Pending</t>
  </si>
  <si>
    <t xml:space="preserve">TXN-1010</t>
  </si>
  <si>
    <t xml:space="preserve">INV-31319</t>
  </si>
  <si>
    <t xml:space="preserve">TXN-1011</t>
  </si>
  <si>
    <t xml:space="preserve">Wellspring Wholesale</t>
  </si>
  <si>
    <t xml:space="preserve">INV-93227</t>
  </si>
  <si>
    <t xml:space="preserve">Wholesale Goods</t>
  </si>
  <si>
    <t xml:space="preserve">TXN-1012</t>
  </si>
  <si>
    <t xml:space="preserve">INV-45382</t>
  </si>
  <si>
    <t xml:space="preserve">R. Chen</t>
  </si>
  <si>
    <t xml:space="preserve">TXN-1013</t>
  </si>
  <si>
    <t xml:space="preserve">Northwind Logistics</t>
  </si>
  <si>
    <t xml:space="preserve">INV-40021</t>
  </si>
  <si>
    <t xml:space="preserve">Logistics</t>
  </si>
  <si>
    <t xml:space="preserve">TXN-1014</t>
  </si>
  <si>
    <t xml:space="preserve">Crestline Marketing</t>
  </si>
  <si>
    <t xml:space="preserve">INV-84341</t>
  </si>
  <si>
    <t xml:space="preserve">Marketing</t>
  </si>
  <si>
    <t xml:space="preserve">TXN-1015</t>
  </si>
  <si>
    <t xml:space="preserve">Harborview Catering</t>
  </si>
  <si>
    <t xml:space="preserve">INV-44718</t>
  </si>
  <si>
    <t xml:space="preserve">Catering</t>
  </si>
  <si>
    <t xml:space="preserve">TXN-1016</t>
  </si>
  <si>
    <t xml:space="preserve">INV-86484</t>
  </si>
  <si>
    <t xml:space="preserve">TXN-1017</t>
  </si>
  <si>
    <t xml:space="preserve">Bluepeak Consulting</t>
  </si>
  <si>
    <t xml:space="preserve">INV-16175</t>
  </si>
  <si>
    <t xml:space="preserve">Consulting</t>
  </si>
  <si>
    <t xml:space="preserve">TXN-1018</t>
  </si>
  <si>
    <t xml:space="preserve">INV-18326</t>
  </si>
  <si>
    <t xml:space="preserve">TXN-1019</t>
  </si>
  <si>
    <t xml:space="preserve">INV-11504</t>
  </si>
  <si>
    <t xml:space="preserve">TXN-1020</t>
  </si>
  <si>
    <t xml:space="preserve">INV-48469</t>
  </si>
  <si>
    <t xml:space="preserve">TXN-1021</t>
  </si>
  <si>
    <t xml:space="preserve">Granite Construction Supply</t>
  </si>
  <si>
    <t xml:space="preserve">INV-33416</t>
  </si>
  <si>
    <t xml:space="preserve">Construction</t>
  </si>
  <si>
    <t xml:space="preserve">TXN-1022</t>
  </si>
  <si>
    <t xml:space="preserve">INV-36071</t>
  </si>
  <si>
    <t xml:space="preserve">TXN-1023</t>
  </si>
  <si>
    <t xml:space="preserve">Apex Office Supplies</t>
  </si>
  <si>
    <t xml:space="preserve">INV-88504</t>
  </si>
  <si>
    <t xml:space="preserve">Office Supplies</t>
  </si>
  <si>
    <t xml:space="preserve">TXN-1024</t>
  </si>
  <si>
    <t xml:space="preserve">INV-17592</t>
  </si>
  <si>
    <t xml:space="preserve">TXN-1025</t>
  </si>
  <si>
    <t xml:space="preserve">INV-79822</t>
  </si>
  <si>
    <t xml:space="preserve">TXN-1026</t>
  </si>
  <si>
    <t xml:space="preserve">Ironclad Security Systems</t>
  </si>
  <si>
    <t xml:space="preserve">INV-79163</t>
  </si>
  <si>
    <t xml:space="preserve">Security</t>
  </si>
  <si>
    <t xml:space="preserve">TXN-1027</t>
  </si>
  <si>
    <t xml:space="preserve">INV-62296</t>
  </si>
  <si>
    <t xml:space="preserve">TXN-1028</t>
  </si>
  <si>
    <t xml:space="preserve">INV-42493</t>
  </si>
  <si>
    <t xml:space="preserve">TXN-1029</t>
  </si>
  <si>
    <t xml:space="preserve">INV-87128</t>
  </si>
  <si>
    <t xml:space="preserve">TXN-1030</t>
  </si>
  <si>
    <t xml:space="preserve">INV-53309</t>
  </si>
  <si>
    <t xml:space="preserve">TXN-1031</t>
  </si>
  <si>
    <t xml:space="preserve">INV-56254</t>
  </si>
  <si>
    <t xml:space="preserve">TXN-1032</t>
  </si>
  <si>
    <t xml:space="preserve">INV-34957</t>
  </si>
  <si>
    <t xml:space="preserve">TXN-1033</t>
  </si>
  <si>
    <t xml:space="preserve">INV-71213</t>
  </si>
  <si>
    <t xml:space="preserve">TXN-1034</t>
  </si>
  <si>
    <t xml:space="preserve">INV-24322</t>
  </si>
  <si>
    <t xml:space="preserve">TXN-1035</t>
  </si>
  <si>
    <t xml:space="preserve">Summit Legal Group</t>
  </si>
  <si>
    <t xml:space="preserve">INV-46509</t>
  </si>
  <si>
    <t xml:space="preserve">Legal</t>
  </si>
  <si>
    <t xml:space="preserve">TXN-1036</t>
  </si>
  <si>
    <t xml:space="preserve">INV-16630</t>
  </si>
  <si>
    <t xml:space="preserve">TXN-1037</t>
  </si>
  <si>
    <t xml:space="preserve">INV-63269</t>
  </si>
  <si>
    <t xml:space="preserve">TXN-1038</t>
  </si>
  <si>
    <t xml:space="preserve">INV-10282</t>
  </si>
  <si>
    <t xml:space="preserve">TXN-1039</t>
  </si>
  <si>
    <t xml:space="preserve">INV-96752</t>
  </si>
  <si>
    <t xml:space="preserve">TXN-1040</t>
  </si>
  <si>
    <t xml:space="preserve">Orbit Telecom</t>
  </si>
  <si>
    <t xml:space="preserve">INV-81066</t>
  </si>
  <si>
    <t xml:space="preserve">Telecom</t>
  </si>
  <si>
    <t xml:space="preserve">TXN-1041</t>
  </si>
  <si>
    <t xml:space="preserve">Coastal Software Inc</t>
  </si>
  <si>
    <t xml:space="preserve">INV-75909</t>
  </si>
  <si>
    <t xml:space="preserve">Software</t>
  </si>
  <si>
    <t xml:space="preserve">TXN-1042</t>
  </si>
  <si>
    <t xml:space="preserve">INV-18907</t>
  </si>
  <si>
    <t xml:space="preserve">TXN-1043</t>
  </si>
  <si>
    <t xml:space="preserve">INV-85880</t>
  </si>
  <si>
    <t xml:space="preserve">TXN-1044</t>
  </si>
  <si>
    <t xml:space="preserve">INV-78522</t>
  </si>
  <si>
    <t xml:space="preserve">TXN-1045</t>
  </si>
  <si>
    <t xml:space="preserve">INV-44814</t>
  </si>
  <si>
    <t xml:space="preserve">TXN-1046</t>
  </si>
  <si>
    <t xml:space="preserve">INV-11220</t>
  </si>
  <si>
    <t xml:space="preserve">TXN-1047</t>
  </si>
  <si>
    <t xml:space="preserve">INV-76307</t>
  </si>
  <si>
    <t xml:space="preserve">TXN-1048</t>
  </si>
  <si>
    <t xml:space="preserve">INV-47353</t>
  </si>
  <si>
    <t xml:space="preserve">TXN-1049</t>
  </si>
  <si>
    <t xml:space="preserve">INV-97538</t>
  </si>
  <si>
    <t xml:space="preserve">TXN-1050</t>
  </si>
  <si>
    <t xml:space="preserve">INV-24029</t>
  </si>
  <si>
    <t xml:space="preserve">TXN-1051</t>
  </si>
  <si>
    <t xml:space="preserve">INV-36685</t>
  </si>
  <si>
    <t xml:space="preserve">TXN-1052</t>
  </si>
  <si>
    <t xml:space="preserve">INV-16658</t>
  </si>
  <si>
    <t xml:space="preserve">TXN-1053</t>
  </si>
  <si>
    <t xml:space="preserve">INV-27146</t>
  </si>
  <si>
    <t xml:space="preserve">TXN-1054</t>
  </si>
  <si>
    <t xml:space="preserve">INV-66057</t>
  </si>
  <si>
    <t xml:space="preserve">TXN-1055</t>
  </si>
  <si>
    <t xml:space="preserve">INV-14722</t>
  </si>
  <si>
    <t xml:space="preserve">TXN-1056</t>
  </si>
  <si>
    <t xml:space="preserve">INV-50404</t>
  </si>
  <si>
    <t xml:space="preserve">TXN-1057</t>
  </si>
  <si>
    <t xml:space="preserve">INV-97416</t>
  </si>
  <si>
    <t xml:space="preserve">TXN-1058</t>
  </si>
  <si>
    <t xml:space="preserve">INV-56507</t>
  </si>
  <si>
    <t xml:space="preserve">TXN-1059</t>
  </si>
  <si>
    <t xml:space="preserve">INV-97806</t>
  </si>
  <si>
    <t xml:space="preserve">TXN-1060</t>
  </si>
  <si>
    <t xml:space="preserve">INV-39154</t>
  </si>
  <si>
    <t xml:space="preserve">TXN-1061</t>
  </si>
  <si>
    <t xml:space="preserve">INV-39219</t>
  </si>
  <si>
    <t xml:space="preserve">TXN-1062</t>
  </si>
  <si>
    <t xml:space="preserve">INV-46585</t>
  </si>
  <si>
    <t xml:space="preserve">TXN-1063</t>
  </si>
  <si>
    <t xml:space="preserve">INV-13617</t>
  </si>
  <si>
    <t xml:space="preserve">TXN-1064</t>
  </si>
  <si>
    <t xml:space="preserve">INV-15014</t>
  </si>
  <si>
    <t xml:space="preserve">TXN-1065</t>
  </si>
  <si>
    <t xml:space="preserve">INV-89457</t>
  </si>
  <si>
    <t xml:space="preserve">TXN-1066</t>
  </si>
  <si>
    <t xml:space="preserve">INV-10221</t>
  </si>
  <si>
    <t xml:space="preserve">TXN-1067</t>
  </si>
  <si>
    <t xml:space="preserve">INV-97062</t>
  </si>
  <si>
    <t xml:space="preserve">TXN-1068</t>
  </si>
  <si>
    <t xml:space="preserve">INV-50538</t>
  </si>
  <si>
    <t xml:space="preserve">TXN-1069</t>
  </si>
  <si>
    <t xml:space="preserve">INV-69829</t>
  </si>
  <si>
    <t xml:space="preserve">TXN-1070</t>
  </si>
  <si>
    <t xml:space="preserve">INV-84593</t>
  </si>
  <si>
    <t xml:space="preserve">TXN-1071</t>
  </si>
  <si>
    <t xml:space="preserve">INV-66346</t>
  </si>
  <si>
    <t xml:space="preserve">TXN-1072</t>
  </si>
  <si>
    <t xml:space="preserve">Sterling HR Partners</t>
  </si>
  <si>
    <t xml:space="preserve">INV-98555</t>
  </si>
  <si>
    <t xml:space="preserve">HR Services</t>
  </si>
  <si>
    <t xml:space="preserve">TXN-1073</t>
  </si>
  <si>
    <t xml:space="preserve">INV-77561</t>
  </si>
  <si>
    <t xml:space="preserve">TXN-1074</t>
  </si>
  <si>
    <t xml:space="preserve">INV-39444</t>
  </si>
  <si>
    <t xml:space="preserve">TXN-1075</t>
  </si>
  <si>
    <t xml:space="preserve">INV-19545</t>
  </si>
  <si>
    <t xml:space="preserve">TXN-1076</t>
  </si>
  <si>
    <t xml:space="preserve">INV-62383</t>
  </si>
  <si>
    <t xml:space="preserve">TXN-1077</t>
  </si>
  <si>
    <t xml:space="preserve">INV-33053</t>
  </si>
  <si>
    <t xml:space="preserve">TXN-1078</t>
  </si>
  <si>
    <t xml:space="preserve">TXN-1079</t>
  </si>
  <si>
    <t xml:space="preserve">INV-65933</t>
  </si>
  <si>
    <t xml:space="preserve">TXN-1080</t>
  </si>
  <si>
    <t xml:space="preserve">INV-43972</t>
  </si>
  <si>
    <t xml:space="preserve">TXN-1081</t>
  </si>
  <si>
    <t xml:space="preserve">INV-45992</t>
  </si>
  <si>
    <t xml:space="preserve">TXN-1082</t>
  </si>
  <si>
    <t xml:space="preserve">INV-51904</t>
  </si>
  <si>
    <t xml:space="preserve">TXN-1083</t>
  </si>
  <si>
    <t xml:space="preserve">INV-38043</t>
  </si>
  <si>
    <t xml:space="preserve">TXN-1084</t>
  </si>
  <si>
    <t xml:space="preserve">INV-18161</t>
  </si>
  <si>
    <t xml:space="preserve">TXN-1085</t>
  </si>
  <si>
    <t xml:space="preserve">INV-59857</t>
  </si>
  <si>
    <t xml:space="preserve">TXN-1086</t>
  </si>
  <si>
    <t xml:space="preserve">INV-80545</t>
  </si>
  <si>
    <t xml:space="preserve">TXN-1087</t>
  </si>
  <si>
    <t xml:space="preserve">INV-67125</t>
  </si>
  <si>
    <t xml:space="preserve">TXN-1088</t>
  </si>
  <si>
    <t xml:space="preserve">INV-71261</t>
  </si>
  <si>
    <t xml:space="preserve">TXN-1089</t>
  </si>
  <si>
    <t xml:space="preserve">INV-96900</t>
  </si>
  <si>
    <t xml:space="preserve">TXN-1090</t>
  </si>
  <si>
    <t xml:space="preserve">INV-16590</t>
  </si>
  <si>
    <t xml:space="preserve">TXN-1091</t>
  </si>
  <si>
    <t xml:space="preserve">INV-59692</t>
  </si>
  <si>
    <t xml:space="preserve">TXN-1092</t>
  </si>
  <si>
    <t xml:space="preserve">INV-12540</t>
  </si>
  <si>
    <t xml:space="preserve">TXN-1093</t>
  </si>
  <si>
    <t xml:space="preserve">INV-14067</t>
  </si>
  <si>
    <t xml:space="preserve">TXN-1094</t>
  </si>
  <si>
    <t xml:space="preserve">INV-26544</t>
  </si>
  <si>
    <t xml:space="preserve">TXN-1095</t>
  </si>
  <si>
    <t xml:space="preserve">INV-31992</t>
  </si>
  <si>
    <t xml:space="preserve">TXN-1096</t>
  </si>
  <si>
    <t xml:space="preserve">INV-85849</t>
  </si>
  <si>
    <t xml:space="preserve">pending</t>
  </si>
  <si>
    <t xml:space="preserve">TXN-1097</t>
  </si>
  <si>
    <t xml:space="preserve">INV-87607</t>
  </si>
  <si>
    <t xml:space="preserve">TXN-1098</t>
  </si>
  <si>
    <t xml:space="preserve">INV-25866</t>
  </si>
  <si>
    <t xml:space="preserve">TXN-1099</t>
  </si>
  <si>
    <t xml:space="preserve">INV-19038</t>
  </si>
  <si>
    <t xml:space="preserve">TXN-1100</t>
  </si>
  <si>
    <t xml:space="preserve">INV-66822</t>
  </si>
  <si>
    <t xml:space="preserve">TXN-1101</t>
  </si>
  <si>
    <t xml:space="preserve">INV-33086</t>
  </si>
  <si>
    <t xml:space="preserve">TXN-1102</t>
  </si>
  <si>
    <t xml:space="preserve">INV-70931</t>
  </si>
  <si>
    <t xml:space="preserve">TXN-1103</t>
  </si>
  <si>
    <t xml:space="preserve">INV-46559</t>
  </si>
  <si>
    <t xml:space="preserve">TXN-1104</t>
  </si>
  <si>
    <t xml:space="preserve">INV-54092</t>
  </si>
  <si>
    <t xml:space="preserve">TXN-1105</t>
  </si>
  <si>
    <t xml:space="preserve">TXN-1106</t>
  </si>
  <si>
    <t xml:space="preserve">INV-35042</t>
  </si>
  <si>
    <t xml:space="preserve">TXN-1107</t>
  </si>
  <si>
    <t xml:space="preserve">INV-72402</t>
  </si>
  <si>
    <t xml:space="preserve">TXN-1108</t>
  </si>
  <si>
    <t xml:space="preserve">INV-39045</t>
  </si>
  <si>
    <t xml:space="preserve">TXN-1109</t>
  </si>
  <si>
    <t xml:space="preserve">INV-72031</t>
  </si>
  <si>
    <t xml:space="preserve">TXN-1110</t>
  </si>
  <si>
    <t xml:space="preserve">INV-56112</t>
  </si>
  <si>
    <t xml:space="preserve">TXN-1111</t>
  </si>
  <si>
    <t xml:space="preserve">INV-35242</t>
  </si>
  <si>
    <t xml:space="preserve">TXN-1112</t>
  </si>
  <si>
    <t xml:space="preserve">INV-46241</t>
  </si>
  <si>
    <t xml:space="preserve">TXN-1113</t>
  </si>
  <si>
    <t xml:space="preserve">INV-39816</t>
  </si>
  <si>
    <t xml:space="preserve">TXN-1114</t>
  </si>
  <si>
    <t xml:space="preserve">INV-45954</t>
  </si>
  <si>
    <t xml:space="preserve">TXN-1115</t>
  </si>
  <si>
    <t xml:space="preserve">INV-23446</t>
  </si>
  <si>
    <t xml:space="preserve">TXN-1116</t>
  </si>
  <si>
    <t xml:space="preserve">INV-34164</t>
  </si>
  <si>
    <t xml:space="preserve">TXN-1117</t>
  </si>
  <si>
    <t xml:space="preserve">INV-74454</t>
  </si>
  <si>
    <t xml:space="preserve">TXN-1118</t>
  </si>
  <si>
    <t xml:space="preserve">INV-49824</t>
  </si>
  <si>
    <t xml:space="preserve">TXN-1119</t>
  </si>
  <si>
    <t xml:space="preserve">INV-88135</t>
  </si>
  <si>
    <t xml:space="preserve">TXN-1120</t>
  </si>
  <si>
    <t xml:space="preserve">INV-87139</t>
  </si>
  <si>
    <t xml:space="preserve">TXN-1121</t>
  </si>
  <si>
    <t xml:space="preserve">INV-91987</t>
  </si>
  <si>
    <t xml:space="preserve">TXN-1122</t>
  </si>
  <si>
    <t xml:space="preserve">INV-82350</t>
  </si>
  <si>
    <t xml:space="preserve">TXN-1123</t>
  </si>
  <si>
    <t xml:space="preserve">INV-48175</t>
  </si>
  <si>
    <t xml:space="preserve">TXN-1124</t>
  </si>
  <si>
    <t xml:space="preserve">INV-40595</t>
  </si>
  <si>
    <t xml:space="preserve">TXN-1125</t>
  </si>
  <si>
    <t xml:space="preserve">INV-39466</t>
  </si>
  <si>
    <t xml:space="preserve">TXN-1126</t>
  </si>
  <si>
    <t xml:space="preserve">INV-31747</t>
  </si>
  <si>
    <t xml:space="preserve">TXN-1127</t>
  </si>
  <si>
    <t xml:space="preserve">INV-49857</t>
  </si>
  <si>
    <t xml:space="preserve">TXN-1128</t>
  </si>
  <si>
    <t xml:space="preserve">INV-67377</t>
  </si>
  <si>
    <t xml:space="preserve">TXN-1129</t>
  </si>
  <si>
    <t xml:space="preserve">INV-42816</t>
  </si>
  <si>
    <t xml:space="preserve">TXN-1130</t>
  </si>
  <si>
    <t xml:space="preserve">INV-15273</t>
  </si>
  <si>
    <t xml:space="preserve">TXN-1131</t>
  </si>
  <si>
    <t xml:space="preserve">INV-67132</t>
  </si>
  <si>
    <t xml:space="preserve">TXN-1132</t>
  </si>
  <si>
    <t xml:space="preserve">INV-53687</t>
  </si>
  <si>
    <t xml:space="preserve">TXN-1133</t>
  </si>
  <si>
    <t xml:space="preserve">INV-47777</t>
  </si>
  <si>
    <t xml:space="preserve">TXN-1134</t>
  </si>
  <si>
    <t xml:space="preserve">INV-43082</t>
  </si>
  <si>
    <t xml:space="preserve">TXN-1135</t>
  </si>
  <si>
    <t xml:space="preserve">INV-70552</t>
  </si>
  <si>
    <t xml:space="preserve">TXN-1136</t>
  </si>
  <si>
    <t xml:space="preserve">INV-16764</t>
  </si>
  <si>
    <t xml:space="preserve">TXN-1137</t>
  </si>
  <si>
    <t xml:space="preserve">INV-25915</t>
  </si>
  <si>
    <t xml:space="preserve">TXN-1138</t>
  </si>
  <si>
    <t xml:space="preserve">INV-82199</t>
  </si>
  <si>
    <t xml:space="preserve">TXN-1139</t>
  </si>
  <si>
    <t xml:space="preserve">INV-25396</t>
  </si>
  <si>
    <t xml:space="preserve">TXN-1140</t>
  </si>
  <si>
    <t xml:space="preserve">INV-45838</t>
  </si>
  <si>
    <t xml:space="preserve">TXN-1141</t>
  </si>
  <si>
    <t xml:space="preserve">INV-28958</t>
  </si>
  <si>
    <t xml:space="preserve">TXN-1142</t>
  </si>
  <si>
    <t xml:space="preserve">INV-54548</t>
  </si>
  <si>
    <t xml:space="preserve">TXN-1143</t>
  </si>
  <si>
    <t xml:space="preserve">INV-86011</t>
  </si>
  <si>
    <t xml:space="preserve">TXN-1144</t>
  </si>
  <si>
    <t xml:space="preserve">INV-55236</t>
  </si>
  <si>
    <t xml:space="preserve">TXN-1145</t>
  </si>
  <si>
    <t xml:space="preserve">INV-41300</t>
  </si>
  <si>
    <t xml:space="preserve">TXN-1146</t>
  </si>
  <si>
    <t xml:space="preserve">INV-59968</t>
  </si>
  <si>
    <t xml:space="preserve">TXN-1147</t>
  </si>
  <si>
    <t xml:space="preserve">INV-75836</t>
  </si>
  <si>
    <t xml:space="preserve">TXN-1148</t>
  </si>
  <si>
    <t xml:space="preserve">INV-26315</t>
  </si>
  <si>
    <t xml:space="preserve">TXN-1149</t>
  </si>
  <si>
    <t xml:space="preserve">INV-71537</t>
  </si>
  <si>
    <t xml:space="preserve">TXN-1150</t>
  </si>
  <si>
    <t xml:space="preserve">INV-98389</t>
  </si>
  <si>
    <t xml:space="preserve">TXN-1151</t>
  </si>
  <si>
    <t xml:space="preserve">INV-14705</t>
  </si>
  <si>
    <t xml:space="preserve">TXN-1152</t>
  </si>
  <si>
    <t xml:space="preserve">INV-22903</t>
  </si>
  <si>
    <t xml:space="preserve">TXN-1153</t>
  </si>
  <si>
    <t xml:space="preserve">INV-13794</t>
  </si>
  <si>
    <t xml:space="preserve">TXN-1154</t>
  </si>
  <si>
    <t xml:space="preserve">INV-66450</t>
  </si>
  <si>
    <t xml:space="preserve">TXN-1155</t>
  </si>
  <si>
    <t xml:space="preserve">INV-32946</t>
  </si>
  <si>
    <t xml:space="preserve">TXN-1156</t>
  </si>
  <si>
    <t xml:space="preserve">INV-86435</t>
  </si>
  <si>
    <t xml:space="preserve">TXN-1157</t>
  </si>
  <si>
    <t xml:space="preserve">INV-70981</t>
  </si>
  <si>
    <t xml:space="preserve">TXN-1158</t>
  </si>
  <si>
    <t xml:space="preserve">INV-87014</t>
  </si>
  <si>
    <t xml:space="preserve">TXN-1159</t>
  </si>
  <si>
    <t xml:space="preserve">INV-49599</t>
  </si>
  <si>
    <t xml:space="preserve">TXN-1160</t>
  </si>
  <si>
    <t xml:space="preserve">INV-84963</t>
  </si>
  <si>
    <t xml:space="preserve">TXN-1161</t>
  </si>
  <si>
    <t xml:space="preserve">INV-11061</t>
  </si>
  <si>
    <t xml:space="preserve">TXN-1162</t>
  </si>
  <si>
    <t xml:space="preserve">INV-40162</t>
  </si>
  <si>
    <t xml:space="preserve">TXN-1163</t>
  </si>
  <si>
    <t xml:space="preserve">INV-42850</t>
  </si>
  <si>
    <t xml:space="preserve">TXN-1164</t>
  </si>
  <si>
    <t xml:space="preserve">INV-50492</t>
  </si>
  <si>
    <t xml:space="preserve">TXN-1165</t>
  </si>
  <si>
    <t xml:space="preserve">INV-48680</t>
  </si>
  <si>
    <t xml:space="preserve">TXN-1166</t>
  </si>
  <si>
    <t xml:space="preserve">INV-57953</t>
  </si>
  <si>
    <t xml:space="preserve">TXN-1167</t>
  </si>
  <si>
    <t xml:space="preserve">INV-48684</t>
  </si>
  <si>
    <t xml:space="preserve">TXN-1168</t>
  </si>
  <si>
    <t xml:space="preserve">INV-98647</t>
  </si>
  <si>
    <t xml:space="preserve">TXN-1169</t>
  </si>
  <si>
    <t xml:space="preserve">INV-44663</t>
  </si>
  <si>
    <t xml:space="preserve">TXN-1170</t>
  </si>
  <si>
    <t xml:space="preserve">INV-59941</t>
  </si>
  <si>
    <t xml:space="preserve">TXN-1171</t>
  </si>
  <si>
    <t xml:space="preserve">INV-13280</t>
  </si>
  <si>
    <t xml:space="preserve">TXN-1172</t>
  </si>
  <si>
    <t xml:space="preserve">INV-93283</t>
  </si>
  <si>
    <t xml:space="preserve">TXN-1173</t>
  </si>
  <si>
    <t xml:space="preserve">INV-28320</t>
  </si>
  <si>
    <t xml:space="preserve">TXN-1174</t>
  </si>
  <si>
    <t xml:space="preserve">INV-40775</t>
  </si>
  <si>
    <t xml:space="preserve">TXN-1175</t>
  </si>
  <si>
    <t xml:space="preserve">INV-86983</t>
  </si>
  <si>
    <t xml:space="preserve">TXN-1176</t>
  </si>
  <si>
    <t xml:space="preserve">INV-46666</t>
  </si>
  <si>
    <t xml:space="preserve">TXN-1177</t>
  </si>
  <si>
    <t xml:space="preserve">INV-57537</t>
  </si>
  <si>
    <t xml:space="preserve">TXN-1178</t>
  </si>
  <si>
    <t xml:space="preserve">INV-62184</t>
  </si>
  <si>
    <t xml:space="preserve">TXN-1179</t>
  </si>
  <si>
    <t xml:space="preserve">INV-94109</t>
  </si>
  <si>
    <t xml:space="preserve">TXN-1180</t>
  </si>
  <si>
    <t xml:space="preserve">INV-26505</t>
  </si>
  <si>
    <t xml:space="preserve">TXN-1181</t>
  </si>
  <si>
    <t xml:space="preserve">INV-53064</t>
  </si>
  <si>
    <t xml:space="preserve">TXN-1182</t>
  </si>
  <si>
    <t xml:space="preserve">INV-80807</t>
  </si>
  <si>
    <t xml:space="preserve">TXN-1183</t>
  </si>
  <si>
    <t xml:space="preserve">INV-11947</t>
  </si>
  <si>
    <t xml:space="preserve">TXN-1184</t>
  </si>
  <si>
    <t xml:space="preserve">INV-32838</t>
  </si>
  <si>
    <t xml:space="preserve">TXN-1185</t>
  </si>
  <si>
    <t xml:space="preserve">INV-72422</t>
  </si>
  <si>
    <t xml:space="preserve">TXN-1186</t>
  </si>
  <si>
    <t xml:space="preserve">INV-90623</t>
  </si>
  <si>
    <t xml:space="preserve">TXN-1187</t>
  </si>
  <si>
    <t xml:space="preserve">INV-72781</t>
  </si>
  <si>
    <t xml:space="preserve">TXN-1188</t>
  </si>
  <si>
    <t xml:space="preserve">INV-20589</t>
  </si>
  <si>
    <t xml:space="preserve">TXN-1189</t>
  </si>
  <si>
    <t xml:space="preserve">INV-92978</t>
  </si>
  <si>
    <t xml:space="preserve">TXN-1190</t>
  </si>
  <si>
    <t xml:space="preserve">INV-48652</t>
  </si>
  <si>
    <t xml:space="preserve">TXN-1191</t>
  </si>
  <si>
    <t xml:space="preserve">INV-38183</t>
  </si>
  <si>
    <t xml:space="preserve">TXN-1192</t>
  </si>
  <si>
    <t xml:space="preserve">INV-62262</t>
  </si>
  <si>
    <t xml:space="preserve">TXN-1193</t>
  </si>
  <si>
    <t xml:space="preserve">INV-59060</t>
  </si>
  <si>
    <t xml:space="preserve">TXN-1194</t>
  </si>
  <si>
    <t xml:space="preserve">INV-22219</t>
  </si>
  <si>
    <t xml:space="preserve">TXN-1195</t>
  </si>
  <si>
    <t xml:space="preserve">INV-86869</t>
  </si>
  <si>
    <t xml:space="preserve">TXN-1196</t>
  </si>
  <si>
    <t xml:space="preserve">INV-16743</t>
  </si>
  <si>
    <t xml:space="preserve">TXN-1197</t>
  </si>
  <si>
    <t xml:space="preserve">INV-37884</t>
  </si>
  <si>
    <t xml:space="preserve">TXN-1198</t>
  </si>
  <si>
    <t xml:space="preserve">INV-58176</t>
  </si>
  <si>
    <t xml:space="preserve">TXN-1199</t>
  </si>
  <si>
    <t xml:space="preserve">INV-90422</t>
  </si>
  <si>
    <t xml:space="preserve">TXN-1200</t>
  </si>
  <si>
    <t xml:space="preserve">INV-33647</t>
  </si>
  <si>
    <t xml:space="preserve">TXN-1201</t>
  </si>
  <si>
    <t xml:space="preserve">INV-33777</t>
  </si>
  <si>
    <t xml:space="preserve">TXN-1202</t>
  </si>
  <si>
    <t xml:space="preserve">INV-22026</t>
  </si>
  <si>
    <t xml:space="preserve">TXN-1203</t>
  </si>
  <si>
    <t xml:space="preserve">INV-58503</t>
  </si>
  <si>
    <t xml:space="preserve">TXN-1204</t>
  </si>
  <si>
    <t xml:space="preserve">INV-90981</t>
  </si>
  <si>
    <t xml:space="preserve">TXN-1205</t>
  </si>
  <si>
    <t xml:space="preserve">INV-89570</t>
  </si>
  <si>
    <t xml:space="preserve">TXN-1206</t>
  </si>
  <si>
    <t xml:space="preserve">INV-66349</t>
  </si>
  <si>
    <t xml:space="preserve">TXN-1207</t>
  </si>
  <si>
    <t xml:space="preserve">INV-38903</t>
  </si>
  <si>
    <t xml:space="preserve">TXN-1208</t>
  </si>
  <si>
    <t xml:space="preserve">INV-37686</t>
  </si>
  <si>
    <t xml:space="preserve">TXN-1209</t>
  </si>
  <si>
    <t xml:space="preserve">INV-75193</t>
  </si>
  <si>
    <t xml:space="preserve">TXN-1210</t>
  </si>
  <si>
    <t xml:space="preserve">INV-83233</t>
  </si>
  <si>
    <t xml:space="preserve">TXN-1211</t>
  </si>
  <si>
    <t xml:space="preserve">INV-12456</t>
  </si>
  <si>
    <t xml:space="preserve">TXN-1212</t>
  </si>
  <si>
    <t xml:space="preserve">INV-63008</t>
  </si>
  <si>
    <t xml:space="preserve">TXN-1213</t>
  </si>
  <si>
    <t xml:space="preserve">INV-52568</t>
  </si>
  <si>
    <t xml:space="preserve">TXN-1214</t>
  </si>
  <si>
    <t xml:space="preserve">INV-67240</t>
  </si>
  <si>
    <t xml:space="preserve">TXN-1215</t>
  </si>
  <si>
    <t xml:space="preserve">INV-50668</t>
  </si>
  <si>
    <t xml:space="preserve">TXN-1216</t>
  </si>
  <si>
    <t xml:space="preserve">INV-79547</t>
  </si>
  <si>
    <t xml:space="preserve">TXN-1217</t>
  </si>
  <si>
    <t xml:space="preserve">INV-23474</t>
  </si>
  <si>
    <t xml:space="preserve">TXN-1218</t>
  </si>
  <si>
    <t xml:space="preserve">INV-33218</t>
  </si>
  <si>
    <t xml:space="preserve">TXN-1219</t>
  </si>
  <si>
    <t xml:space="preserve">INV-13445</t>
  </si>
  <si>
    <t xml:space="preserve">TXN-1220</t>
  </si>
  <si>
    <t xml:space="preserve">INV-92756</t>
  </si>
  <si>
    <t xml:space="preserve">TXN-1221</t>
  </si>
  <si>
    <t xml:space="preserve">INV-50685</t>
  </si>
  <si>
    <t xml:space="preserve">TXN-1222</t>
  </si>
  <si>
    <t xml:space="preserve">INV-94497</t>
  </si>
  <si>
    <t xml:space="preserve">TXN-1223</t>
  </si>
  <si>
    <t xml:space="preserve">INV-15376</t>
  </si>
  <si>
    <t xml:space="preserve">TXN-1224</t>
  </si>
  <si>
    <t xml:space="preserve">INV-75715</t>
  </si>
  <si>
    <t xml:space="preserve">TXN-1225</t>
  </si>
  <si>
    <t xml:space="preserve">INV-76132</t>
  </si>
  <si>
    <t xml:space="preserve">TXN-1226</t>
  </si>
  <si>
    <t xml:space="preserve">INV-78690</t>
  </si>
  <si>
    <t xml:space="preserve">TXN-1227</t>
  </si>
  <si>
    <t xml:space="preserve">INV-63578</t>
  </si>
  <si>
    <t xml:space="preserve">TXN-1228</t>
  </si>
  <si>
    <t xml:space="preserve">INV-53213</t>
  </si>
  <si>
    <t xml:space="preserve">TXN-1229</t>
  </si>
  <si>
    <t xml:space="preserve">INV-29709</t>
  </si>
  <si>
    <t xml:space="preserve">TXN-1230</t>
  </si>
  <si>
    <t xml:space="preserve">INV-26901</t>
  </si>
  <si>
    <t xml:space="preserve">TXN-1231</t>
  </si>
  <si>
    <t xml:space="preserve">INV-94343</t>
  </si>
  <si>
    <t xml:space="preserve">TXN-1232</t>
  </si>
  <si>
    <t xml:space="preserve">INV-57425</t>
  </si>
  <si>
    <t xml:space="preserve">TXN-1233</t>
  </si>
  <si>
    <t xml:space="preserve">INV-35166</t>
  </si>
  <si>
    <t xml:space="preserve">TXN-1234</t>
  </si>
  <si>
    <t xml:space="preserve">INV-76543</t>
  </si>
  <si>
    <t xml:space="preserve">TXN-1235</t>
  </si>
  <si>
    <t xml:space="preserve">INV-27176</t>
  </si>
  <si>
    <t xml:space="preserve">TXN-1236</t>
  </si>
  <si>
    <t xml:space="preserve">INV-67366</t>
  </si>
  <si>
    <t xml:space="preserve">TXN-1237</t>
  </si>
  <si>
    <t xml:space="preserve">INV-68841</t>
  </si>
  <si>
    <t xml:space="preserve">TXN-1238</t>
  </si>
  <si>
    <t xml:space="preserve">INV-98907</t>
  </si>
  <si>
    <t xml:space="preserve">TXN-1239</t>
  </si>
  <si>
    <t xml:space="preserve">INV-79135</t>
  </si>
  <si>
    <t xml:space="preserve">TXN-1240</t>
  </si>
  <si>
    <t xml:space="preserve">INV-16839</t>
  </si>
  <si>
    <t xml:space="preserve">TXN-1241</t>
  </si>
  <si>
    <t xml:space="preserve">INV-26341</t>
  </si>
  <si>
    <t xml:space="preserve">TXN-1242</t>
  </si>
  <si>
    <t xml:space="preserve">INV-29313</t>
  </si>
  <si>
    <t xml:space="preserve">TXN-1243</t>
  </si>
  <si>
    <t xml:space="preserve">INV-64381</t>
  </si>
  <si>
    <t xml:space="preserve">TXN-1244</t>
  </si>
  <si>
    <t xml:space="preserve">INV-59140</t>
  </si>
  <si>
    <t xml:space="preserve">TXN-1245</t>
  </si>
  <si>
    <t xml:space="preserve">INV-28035</t>
  </si>
  <si>
    <t xml:space="preserve">TXN-1246</t>
  </si>
  <si>
    <t xml:space="preserve">INV-68799</t>
  </si>
  <si>
    <t xml:space="preserve">TXN-1247</t>
  </si>
  <si>
    <t xml:space="preserve">INV-29597</t>
  </si>
  <si>
    <t xml:space="preserve">TXN-1248</t>
  </si>
  <si>
    <t xml:space="preserve">INV-49472</t>
  </si>
  <si>
    <t xml:space="preserve">TXN-1249</t>
  </si>
  <si>
    <t xml:space="preserve">INV-18232</t>
  </si>
  <si>
    <t xml:space="preserve">TXN-1250</t>
  </si>
  <si>
    <t xml:space="preserve">INV-92831</t>
  </si>
  <si>
    <t xml:space="preserve">TXN-1251</t>
  </si>
  <si>
    <t xml:space="preserve">INV-90584</t>
  </si>
  <si>
    <t xml:space="preserve">TXN-1252</t>
  </si>
  <si>
    <t xml:space="preserve">INV-57265</t>
  </si>
  <si>
    <t xml:space="preserve">TXN-1253</t>
  </si>
  <si>
    <t xml:space="preserve">NORTHWIND LOGISTICS</t>
  </si>
  <si>
    <t xml:space="preserve">INV-93318</t>
  </si>
  <si>
    <t xml:space="preserve">TXN-1254</t>
  </si>
  <si>
    <t xml:space="preserve">INV-18855</t>
  </si>
  <si>
    <t xml:space="preserve">TXN-1255</t>
  </si>
  <si>
    <t xml:space="preserve">INV-15811</t>
  </si>
  <si>
    <t xml:space="preserve">TXN-1256</t>
  </si>
  <si>
    <t xml:space="preserve">INV-92802</t>
  </si>
  <si>
    <t xml:space="preserve">TXN-1257</t>
  </si>
  <si>
    <t xml:space="preserve">INV-48462</t>
  </si>
  <si>
    <t xml:space="preserve">TXN-1258</t>
  </si>
  <si>
    <t xml:space="preserve">INV-77552</t>
  </si>
  <si>
    <t xml:space="preserve">TXN-1259</t>
  </si>
  <si>
    <t xml:space="preserve">INV-47501</t>
  </si>
  <si>
    <t xml:space="preserve">TXN-1260</t>
  </si>
  <si>
    <t xml:space="preserve">TXN-1261</t>
  </si>
  <si>
    <t xml:space="preserve">INV-54438</t>
  </si>
  <si>
    <t xml:space="preserve">TXN-1262</t>
  </si>
  <si>
    <t xml:space="preserve">INV-20828</t>
  </si>
  <si>
    <t xml:space="preserve">TXN-1263</t>
  </si>
  <si>
    <t xml:space="preserve">INV-23447</t>
  </si>
  <si>
    <t xml:space="preserve">TXN-1264</t>
  </si>
  <si>
    <t xml:space="preserve">INV-65851</t>
  </si>
  <si>
    <t xml:space="preserve">TXN-1265</t>
  </si>
  <si>
    <t xml:space="preserve">INV-90589</t>
  </si>
  <si>
    <t xml:space="preserve">TXN-1266</t>
  </si>
  <si>
    <t xml:space="preserve">INV-77251</t>
  </si>
  <si>
    <t xml:space="preserve">TXN-1267</t>
  </si>
  <si>
    <t xml:space="preserve">INV-14561</t>
  </si>
  <si>
    <t xml:space="preserve">TXN-1268</t>
  </si>
  <si>
    <t xml:space="preserve">INV-14244</t>
  </si>
  <si>
    <t xml:space="preserve">TXN-1269</t>
  </si>
  <si>
    <t xml:space="preserve">INV-20077</t>
  </si>
  <si>
    <t xml:space="preserve">TXN-1270</t>
  </si>
  <si>
    <t xml:space="preserve">INV-42717</t>
  </si>
  <si>
    <t xml:space="preserve">TXN-1271</t>
  </si>
  <si>
    <t xml:space="preserve">INV-83619</t>
  </si>
  <si>
    <t xml:space="preserve">TXN-1272</t>
  </si>
  <si>
    <t xml:space="preserve">INV-90199</t>
  </si>
  <si>
    <t xml:space="preserve">TXN-1273</t>
  </si>
  <si>
    <t xml:space="preserve">INV-19706</t>
  </si>
  <si>
    <t xml:space="preserve">TXN-1274</t>
  </si>
  <si>
    <t xml:space="preserve">INV-18511</t>
  </si>
  <si>
    <t xml:space="preserve">TXN-1275</t>
  </si>
  <si>
    <t xml:space="preserve">INV-76683</t>
  </si>
  <si>
    <t xml:space="preserve">TXN-1276</t>
  </si>
  <si>
    <t xml:space="preserve">TXN-1277</t>
  </si>
  <si>
    <t xml:space="preserve">INV-90209</t>
  </si>
  <si>
    <t xml:space="preserve">TXN-1278</t>
  </si>
  <si>
    <t xml:space="preserve">INV-63843</t>
  </si>
  <si>
    <t xml:space="preserve">TXN-1279</t>
  </si>
  <si>
    <t xml:space="preserve">INV-68979</t>
  </si>
  <si>
    <t xml:space="preserve">TXN-1280</t>
  </si>
  <si>
    <t xml:space="preserve">INV-33850</t>
  </si>
  <si>
    <t xml:space="preserve">TXN-1281</t>
  </si>
  <si>
    <t xml:space="preserve">INV-49862</t>
  </si>
  <si>
    <t xml:space="preserve">TXN-1282</t>
  </si>
  <si>
    <t xml:space="preserve">INV-20336</t>
  </si>
  <si>
    <t xml:space="preserve">TXN-1283</t>
  </si>
  <si>
    <t xml:space="preserve">INV-79924</t>
  </si>
  <si>
    <t xml:space="preserve">TXN-1284</t>
  </si>
  <si>
    <t xml:space="preserve">INV-32439</t>
  </si>
  <si>
    <t xml:space="preserve">TXN-1285</t>
  </si>
  <si>
    <t xml:space="preserve">INV-20646</t>
  </si>
  <si>
    <t xml:space="preserve">TXN-1286</t>
  </si>
  <si>
    <t xml:space="preserve">INV-64602</t>
  </si>
  <si>
    <t xml:space="preserve">TXN-1287</t>
  </si>
  <si>
    <t xml:space="preserve">INV-94136</t>
  </si>
  <si>
    <t xml:space="preserve">TXN-1288</t>
  </si>
  <si>
    <t xml:space="preserve">INV-17852</t>
  </si>
  <si>
    <t xml:space="preserve">TXN-1289</t>
  </si>
  <si>
    <t xml:space="preserve">INV-89516</t>
  </si>
  <si>
    <t xml:space="preserve">TXN-1290</t>
  </si>
  <si>
    <t xml:space="preserve">INV-27139</t>
  </si>
  <si>
    <t xml:space="preserve">TXN-1291</t>
  </si>
  <si>
    <t xml:space="preserve">INV-26059</t>
  </si>
  <si>
    <t xml:space="preserve">TXN-1292</t>
  </si>
  <si>
    <t xml:space="preserve">INV-60351</t>
  </si>
  <si>
    <t xml:space="preserve">TXN-1293</t>
  </si>
  <si>
    <t xml:space="preserve">INV-34881</t>
  </si>
  <si>
    <t xml:space="preserve">TXN-1294</t>
  </si>
  <si>
    <t xml:space="preserve">INV-13037</t>
  </si>
  <si>
    <t xml:space="preserve">TXN-1295</t>
  </si>
  <si>
    <t xml:space="preserve">TXN-1296</t>
  </si>
  <si>
    <t xml:space="preserve">INV-80345</t>
  </si>
  <si>
    <t xml:space="preserve">TXN-1297</t>
  </si>
  <si>
    <t xml:space="preserve">INV-62855</t>
  </si>
  <si>
    <t xml:space="preserve">TXN-1298</t>
  </si>
  <si>
    <t xml:space="preserve">INV-57516</t>
  </si>
  <si>
    <t xml:space="preserve">TXN-1299</t>
  </si>
  <si>
    <t xml:space="preserve">INV-46663</t>
  </si>
  <si>
    <t xml:space="preserve">TXN-1300</t>
  </si>
  <si>
    <t xml:space="preserve">INV-58915</t>
  </si>
  <si>
    <t xml:space="preserve">TXN-1301</t>
  </si>
  <si>
    <t xml:space="preserve">INV-76731</t>
  </si>
  <si>
    <t xml:space="preserve">TXN-1302</t>
  </si>
  <si>
    <t xml:space="preserve">INV-72094</t>
  </si>
  <si>
    <t xml:space="preserve">TXN-1303</t>
  </si>
  <si>
    <t xml:space="preserve">INV-61505</t>
  </si>
  <si>
    <t xml:space="preserve">TXN-1304</t>
  </si>
  <si>
    <t xml:space="preserve">INV-76809</t>
  </si>
  <si>
    <t xml:space="preserve">TXN-1305</t>
  </si>
  <si>
    <t xml:space="preserve">INV-53416</t>
  </si>
  <si>
    <t xml:space="preserve">TXN-1306</t>
  </si>
  <si>
    <t xml:space="preserve">INV-88238</t>
  </si>
  <si>
    <t xml:space="preserve">TXN-1307</t>
  </si>
  <si>
    <t xml:space="preserve">INV-72973</t>
  </si>
  <si>
    <t xml:space="preserve">TXN-1308</t>
  </si>
  <si>
    <t xml:space="preserve">INV-85047</t>
  </si>
  <si>
    <t xml:space="preserve">TXN-1309</t>
  </si>
  <si>
    <t xml:space="preserve">INV-29848</t>
  </si>
  <si>
    <t xml:space="preserve">TXN-1310</t>
  </si>
  <si>
    <t xml:space="preserve">INV-18163</t>
  </si>
  <si>
    <t xml:space="preserve">TXN-1311</t>
  </si>
  <si>
    <t xml:space="preserve">INV-78875</t>
  </si>
  <si>
    <t xml:space="preserve">TXN-1312</t>
  </si>
  <si>
    <t xml:space="preserve">INV-81601</t>
  </si>
  <si>
    <t xml:space="preserve">TXN-1313</t>
  </si>
  <si>
    <t xml:space="preserve">INV-42311</t>
  </si>
  <si>
    <t xml:space="preserve">TXN-1314</t>
  </si>
  <si>
    <t xml:space="preserve">INV-74094</t>
  </si>
  <si>
    <t xml:space="preserve">TXN-1315</t>
  </si>
  <si>
    <t xml:space="preserve">INV-98686</t>
  </si>
  <si>
    <t xml:space="preserve">TXN-1316</t>
  </si>
  <si>
    <t xml:space="preserve">INV-15513</t>
  </si>
  <si>
    <t xml:space="preserve">TXN-1317</t>
  </si>
  <si>
    <t xml:space="preserve">INV-72793</t>
  </si>
  <si>
    <t xml:space="preserve">TXN-1318</t>
  </si>
  <si>
    <t xml:space="preserve">INV-24316</t>
  </si>
  <si>
    <t xml:space="preserve">TXN-1319</t>
  </si>
  <si>
    <t xml:space="preserve">INV-39579</t>
  </si>
  <si>
    <t xml:space="preserve">TXN-1320</t>
  </si>
  <si>
    <t xml:space="preserve">INV-23178</t>
  </si>
  <si>
    <t xml:space="preserve">TOTAL (entered):</t>
  </si>
  <si>
    <t xml:space="preserve">INV-80678</t>
  </si>
  <si>
    <t xml:space="preserve">INV-31299</t>
  </si>
  <si>
    <t xml:space="preserve">INV-26683</t>
  </si>
  <si>
    <t xml:space="preserve">INV-69890</t>
  </si>
  <si>
    <t xml:space="preserve">INV-52363</t>
  </si>
  <si>
    <t xml:space="preserve">TOTAL (verified):</t>
  </si>
  <si>
    <t xml:space="preserve">#</t>
  </si>
  <si>
    <t xml:space="preserve">Field</t>
  </si>
  <si>
    <t xml:space="preserve">Issue Type</t>
  </si>
  <si>
    <t xml:space="preserve">Correct Value</t>
  </si>
  <si>
    <t xml:space="preserve">Inconsistent casing</t>
  </si>
  <si>
    <t xml:space="preserve">Missing value</t>
  </si>
  <si>
    <t xml:space="preserve">Duplicate invoice number</t>
  </si>
  <si>
    <t xml:space="preserve">Date outside fiscal year 2025</t>
  </si>
  <si>
    <t xml:space="preserve">2025-09-17</t>
  </si>
  <si>
    <t xml:space="preserve">2025-08-19</t>
  </si>
  <si>
    <t xml:space="preserve">Negative value (data entry error)</t>
  </si>
  <si>
    <t xml:space="preserve">15449.83</t>
  </si>
  <si>
    <t xml:space="preserve">18286.18</t>
  </si>
  <si>
    <t xml:space="preserve">6031.33</t>
  </si>
  <si>
    <t xml:space="preserve">2025-06-17</t>
  </si>
  <si>
    <t xml:space="preserve">2025-02-24</t>
  </si>
  <si>
    <t xml:space="preserve">5339.36</t>
  </si>
  <si>
    <t xml:space="preserve">Inconsistent naming / typo</t>
  </si>
  <si>
    <t xml:space="preserve">4494.98</t>
  </si>
  <si>
    <t xml:space="preserve">2025-02-16</t>
  </si>
  <si>
    <t xml:space="preserve">Total planted errors: 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</si>
</sst>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&quot;($&quot;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.75" hidden="false" customHeight="true" outlineLevel="0" collapsed="false">
      <c r="A3" s="3" t="s">
        <v>1</v>
      </c>
    </row>
    <row r="4" customFormat="false" ht="18" hidden="false" customHeight="tru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.75" hidden="false" customHeight="true" outlineLevel="0" collapsed="false">
      <c r="A6" s="3" t="s">
        <v>3</v>
      </c>
    </row>
    <row r="7" customFormat="false" ht="18" hidden="false" customHeight="true" outlineLevel="0" collapsed="false">
      <c r="A7" s="2" t="s">
        <v>4</v>
      </c>
    </row>
    <row r="8" customFormat="false" ht="18" hidden="false" customHeight="true" outlineLevel="0" collapsed="false">
      <c r="A8" s="2" t="s">
        <v>5</v>
      </c>
    </row>
    <row r="9" customFormat="false" ht="18" hidden="false" customHeight="tru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.75" hidden="false" customHeight="true" outlineLevel="0" collapsed="false">
      <c r="A11" s="3" t="s">
        <v>7</v>
      </c>
    </row>
    <row r="12" customFormat="false" ht="18" hidden="false" customHeight="true" outlineLevel="0" collapsed="false">
      <c r="A12" s="2" t="s">
        <v>8</v>
      </c>
    </row>
    <row r="13" customFormat="false" ht="18" hidden="false" customHeight="true" outlineLevel="0" collapsed="false">
      <c r="A13" s="2" t="s">
        <v>9</v>
      </c>
    </row>
    <row r="14" customFormat="false" ht="18" hidden="false" customHeight="true" outlineLevel="0" collapsed="false">
      <c r="A14" s="2" t="s">
        <v>10</v>
      </c>
    </row>
    <row r="15" customFormat="false" ht="18" hidden="false" customHeight="true" outlineLevel="0" collapsed="false">
      <c r="A15" s="2" t="s">
        <v>11</v>
      </c>
    </row>
    <row r="16" customFormat="false" ht="18" hidden="false" customHeight="true" outlineLevel="0" collapsed="false">
      <c r="A16" s="2" t="s">
        <v>12</v>
      </c>
    </row>
    <row r="17" customFormat="false" ht="18" hidden="false" customHeight="tru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.75" hidden="false" customHeight="true" outlineLevel="0" collapsed="false">
      <c r="A19" s="3" t="s">
        <v>14</v>
      </c>
    </row>
    <row r="20" customFormat="false" ht="18" hidden="false" customHeight="true" outlineLevel="0" collapsed="false">
      <c r="A20" s="2" t="s">
        <v>15</v>
      </c>
    </row>
    <row r="21" customFormat="false" ht="18" hidden="false" customHeight="true" outlineLevel="0" collapsed="false">
      <c r="A21" s="2" t="s">
        <v>16</v>
      </c>
    </row>
    <row r="22" customFormat="false" ht="18" hidden="false" customHeight="true" outlineLevel="0" collapsed="false">
      <c r="A22" s="2" t="s">
        <v>17</v>
      </c>
    </row>
    <row r="23" customFormat="false" ht="18" hidden="false" customHeight="true" outlineLevel="0" collapsed="false">
      <c r="A23" s="2" t="s">
        <v>18</v>
      </c>
    </row>
    <row r="24" customFormat="false" ht="18" hidden="false" customHeight="tru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8" hidden="false" customHeight="tru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30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</row>
    <row r="2" customFormat="false" ht="15" hidden="false" customHeight="false" outlineLevel="0" collapsed="false">
      <c r="A2" s="5" t="s">
        <v>34</v>
      </c>
      <c r="B2" s="6" t="n">
        <v>45798</v>
      </c>
      <c r="C2" s="5" t="s">
        <v>35</v>
      </c>
      <c r="D2" s="5" t="s">
        <v>36</v>
      </c>
      <c r="E2" s="5" t="s">
        <v>37</v>
      </c>
      <c r="F2" s="7" t="n">
        <v>4564.48</v>
      </c>
      <c r="G2" s="5" t="s">
        <v>38</v>
      </c>
      <c r="H2" s="5" t="s">
        <v>39</v>
      </c>
      <c r="I2" s="5" t="s">
        <v>40</v>
      </c>
      <c r="J2" s="5"/>
      <c r="K2" s="5" t="str">
        <f aca="false">IF(D2="","",IF(COUNTIF($D$2:$D$321,D2)&gt;1,"DUPLICATE","OK"))</f>
        <v>OK</v>
      </c>
      <c r="L2" s="5"/>
      <c r="M2" s="5"/>
    </row>
    <row r="3" customFormat="false" ht="15" hidden="false" customHeight="false" outlineLevel="0" collapsed="false">
      <c r="A3" s="8" t="s">
        <v>41</v>
      </c>
      <c r="B3" s="9" t="n">
        <v>45960</v>
      </c>
      <c r="C3" s="8" t="s">
        <v>42</v>
      </c>
      <c r="D3" s="8" t="s">
        <v>43</v>
      </c>
      <c r="E3" s="8" t="s">
        <v>44</v>
      </c>
      <c r="F3" s="10" t="n">
        <v>7831.57</v>
      </c>
      <c r="G3" s="8" t="s">
        <v>45</v>
      </c>
      <c r="H3" s="8" t="s">
        <v>46</v>
      </c>
      <c r="I3" s="8" t="s">
        <v>47</v>
      </c>
      <c r="J3" s="8"/>
      <c r="K3" s="8" t="str">
        <f aca="false">IF(D3="","",IF(COUNTIF($D$2:$D$321,D3)&gt;1,"DUPLICATE","OK"))</f>
        <v>OK</v>
      </c>
      <c r="L3" s="8"/>
      <c r="M3" s="8"/>
    </row>
    <row r="4" customFormat="false" ht="15" hidden="false" customHeight="false" outlineLevel="0" collapsed="false">
      <c r="A4" s="5" t="s">
        <v>48</v>
      </c>
      <c r="B4" s="6" t="n">
        <v>45966</v>
      </c>
      <c r="C4" s="5" t="s">
        <v>49</v>
      </c>
      <c r="D4" s="5" t="s">
        <v>50</v>
      </c>
      <c r="E4" s="5" t="s">
        <v>51</v>
      </c>
      <c r="F4" s="7" t="n">
        <v>534.72</v>
      </c>
      <c r="G4" s="5" t="s">
        <v>38</v>
      </c>
      <c r="H4" s="5" t="s">
        <v>39</v>
      </c>
      <c r="I4" s="5" t="s">
        <v>52</v>
      </c>
      <c r="J4" s="5"/>
      <c r="K4" s="5" t="str">
        <f aca="false">IF(D4="","",IF(COUNTIF($D$2:$D$321,D4)&gt;1,"DUPLICATE","OK"))</f>
        <v>OK</v>
      </c>
      <c r="L4" s="5"/>
      <c r="M4" s="5"/>
    </row>
    <row r="5" customFormat="false" ht="15" hidden="false" customHeight="false" outlineLevel="0" collapsed="false">
      <c r="A5" s="8" t="s">
        <v>53</v>
      </c>
      <c r="B5" s="9" t="n">
        <v>45887</v>
      </c>
      <c r="C5" s="8" t="s">
        <v>54</v>
      </c>
      <c r="D5" s="8" t="s">
        <v>55</v>
      </c>
      <c r="E5" s="8" t="s">
        <v>56</v>
      </c>
      <c r="F5" s="10" t="n">
        <v>10919.9</v>
      </c>
      <c r="G5" s="8" t="s">
        <v>45</v>
      </c>
      <c r="H5" s="8" t="s">
        <v>46</v>
      </c>
      <c r="I5" s="8" t="s">
        <v>57</v>
      </c>
      <c r="J5" s="8"/>
      <c r="K5" s="8" t="str">
        <f aca="false">IF(D5="","",IF(COUNTIF($D$2:$D$321,D5)&gt;1,"DUPLICATE","OK"))</f>
        <v>OK</v>
      </c>
      <c r="L5" s="8"/>
      <c r="M5" s="8"/>
    </row>
    <row r="6" customFormat="false" ht="15" hidden="false" customHeight="false" outlineLevel="0" collapsed="false">
      <c r="A6" s="5" t="s">
        <v>58</v>
      </c>
      <c r="B6" s="6" t="n">
        <v>45737</v>
      </c>
      <c r="C6" s="5" t="s">
        <v>59</v>
      </c>
      <c r="D6" s="5" t="s">
        <v>60</v>
      </c>
      <c r="E6" s="5" t="s">
        <v>61</v>
      </c>
      <c r="F6" s="7" t="n">
        <v>4018.62</v>
      </c>
      <c r="G6" s="5" t="s">
        <v>62</v>
      </c>
      <c r="H6" s="5" t="s">
        <v>63</v>
      </c>
      <c r="I6" s="5" t="s">
        <v>40</v>
      </c>
      <c r="J6" s="5"/>
      <c r="K6" s="5" t="str">
        <f aca="false">IF(D6="","",IF(COUNTIF($D$2:$D$321,D6)&gt;1,"DUPLICATE","OK"))</f>
        <v>OK</v>
      </c>
      <c r="L6" s="5"/>
      <c r="M6" s="5"/>
    </row>
    <row r="7" customFormat="false" ht="15" hidden="false" customHeight="false" outlineLevel="0" collapsed="false">
      <c r="A7" s="8" t="s">
        <v>64</v>
      </c>
      <c r="B7" s="9" t="n">
        <v>45841</v>
      </c>
      <c r="C7" s="8" t="s">
        <v>65</v>
      </c>
      <c r="D7" s="8" t="s">
        <v>66</v>
      </c>
      <c r="E7" s="8" t="s">
        <v>67</v>
      </c>
      <c r="F7" s="10" t="n">
        <v>15685.51</v>
      </c>
      <c r="G7" s="8" t="s">
        <v>62</v>
      </c>
      <c r="H7" s="8" t="s">
        <v>46</v>
      </c>
      <c r="I7" s="8" t="s">
        <v>57</v>
      </c>
      <c r="J7" s="8"/>
      <c r="K7" s="8" t="str">
        <f aca="false">IF(D7="","",IF(COUNTIF($D$2:$D$321,D7)&gt;1,"DUPLICATE","OK"))</f>
        <v>OK</v>
      </c>
      <c r="L7" s="8"/>
      <c r="M7" s="8"/>
    </row>
    <row r="8" customFormat="false" ht="15" hidden="false" customHeight="false" outlineLevel="0" collapsed="false">
      <c r="A8" s="5" t="s">
        <v>68</v>
      </c>
      <c r="B8" s="6" t="n">
        <v>45851</v>
      </c>
      <c r="C8" s="5" t="s">
        <v>42</v>
      </c>
      <c r="D8" s="5" t="s">
        <v>69</v>
      </c>
      <c r="E8" s="5" t="s">
        <v>44</v>
      </c>
      <c r="F8" s="7" t="n">
        <v>1499.26</v>
      </c>
      <c r="G8" s="5" t="s">
        <v>62</v>
      </c>
      <c r="H8" s="5" t="s">
        <v>39</v>
      </c>
      <c r="I8" s="5" t="s">
        <v>52</v>
      </c>
      <c r="J8" s="5"/>
      <c r="K8" s="5" t="str">
        <f aca="false">IF(D8="","",IF(COUNTIF($D$2:$D$321,D8)&gt;1,"DUPLICATE","OK"))</f>
        <v>OK</v>
      </c>
      <c r="L8" s="5"/>
      <c r="M8" s="5"/>
    </row>
    <row r="9" customFormat="false" ht="15" hidden="false" customHeight="false" outlineLevel="0" collapsed="false">
      <c r="A9" s="8" t="s">
        <v>70</v>
      </c>
      <c r="B9" s="9" t="n">
        <v>45756</v>
      </c>
      <c r="C9" s="8" t="s">
        <v>71</v>
      </c>
      <c r="D9" s="8" t="s">
        <v>72</v>
      </c>
      <c r="E9" s="8" t="s">
        <v>73</v>
      </c>
      <c r="F9" s="10" t="n">
        <v>13047.87</v>
      </c>
      <c r="G9" s="8" t="s">
        <v>45</v>
      </c>
      <c r="H9" s="8" t="s">
        <v>39</v>
      </c>
      <c r="I9" s="8" t="s">
        <v>47</v>
      </c>
      <c r="J9" s="8"/>
      <c r="K9" s="8" t="str">
        <f aca="false">IF(D9="","",IF(COUNTIF($D$2:$D$321,D9)&gt;1,"DUPLICATE","OK"))</f>
        <v>OK</v>
      </c>
      <c r="L9" s="8"/>
      <c r="M9" s="8"/>
    </row>
    <row r="10" customFormat="false" ht="15" hidden="false" customHeight="false" outlineLevel="0" collapsed="false">
      <c r="A10" s="5" t="s">
        <v>74</v>
      </c>
      <c r="B10" s="6" t="n">
        <v>45777</v>
      </c>
      <c r="C10" s="5" t="s">
        <v>75</v>
      </c>
      <c r="D10" s="5" t="s">
        <v>76</v>
      </c>
      <c r="E10" s="5" t="s">
        <v>77</v>
      </c>
      <c r="F10" s="7" t="n">
        <v>16035.96</v>
      </c>
      <c r="G10" s="5" t="s">
        <v>78</v>
      </c>
      <c r="H10" s="5" t="s">
        <v>79</v>
      </c>
      <c r="I10" s="5" t="s">
        <v>57</v>
      </c>
      <c r="J10" s="5"/>
      <c r="K10" s="5" t="str">
        <f aca="false">IF(D10="","",IF(COUNTIF($D$2:$D$321,D10)&gt;1,"DUPLICATE","OK"))</f>
        <v>OK</v>
      </c>
      <c r="L10" s="5"/>
      <c r="M10" s="5"/>
    </row>
    <row r="11" customFormat="false" ht="15" hidden="false" customHeight="false" outlineLevel="0" collapsed="false">
      <c r="A11" s="8" t="s">
        <v>80</v>
      </c>
      <c r="B11" s="9" t="n">
        <v>45847</v>
      </c>
      <c r="C11" s="8" t="s">
        <v>71</v>
      </c>
      <c r="D11" s="8" t="s">
        <v>81</v>
      </c>
      <c r="E11" s="8" t="s">
        <v>73</v>
      </c>
      <c r="F11" s="10" t="n">
        <v>6601.52</v>
      </c>
      <c r="G11" s="8" t="s">
        <v>62</v>
      </c>
      <c r="H11" s="8" t="s">
        <v>39</v>
      </c>
      <c r="I11" s="8" t="s">
        <v>40</v>
      </c>
      <c r="J11" s="8"/>
      <c r="K11" s="8" t="str">
        <f aca="false">IF(D11="","",IF(COUNTIF($D$2:$D$321,D11)&gt;1,"DUPLICATE","OK"))</f>
        <v>OK</v>
      </c>
      <c r="L11" s="8"/>
      <c r="M11" s="8"/>
    </row>
    <row r="12" customFormat="false" ht="15" hidden="false" customHeight="false" outlineLevel="0" collapsed="false">
      <c r="A12" s="5" t="s">
        <v>82</v>
      </c>
      <c r="B12" s="6" t="n">
        <v>45745</v>
      </c>
      <c r="C12" s="5" t="s">
        <v>83</v>
      </c>
      <c r="D12" s="5" t="s">
        <v>84</v>
      </c>
      <c r="E12" s="5" t="s">
        <v>85</v>
      </c>
      <c r="F12" s="7" t="n">
        <v>9902.55</v>
      </c>
      <c r="G12" s="5" t="s">
        <v>38</v>
      </c>
      <c r="H12" s="5" t="s">
        <v>46</v>
      </c>
      <c r="I12" s="5" t="s">
        <v>57</v>
      </c>
      <c r="J12" s="5"/>
      <c r="K12" s="5" t="str">
        <f aca="false">IF(D12="","",IF(COUNTIF($D$2:$D$321,D12)&gt;1,"DUPLICATE","OK"))</f>
        <v>OK</v>
      </c>
      <c r="L12" s="5"/>
      <c r="M12" s="5"/>
    </row>
    <row r="13" customFormat="false" ht="15" hidden="false" customHeight="false" outlineLevel="0" collapsed="false">
      <c r="A13" s="8" t="s">
        <v>86</v>
      </c>
      <c r="B13" s="9" t="n">
        <v>45985</v>
      </c>
      <c r="C13" s="8" t="s">
        <v>65</v>
      </c>
      <c r="D13" s="8" t="s">
        <v>87</v>
      </c>
      <c r="E13" s="8" t="s">
        <v>67</v>
      </c>
      <c r="F13" s="10" t="n">
        <v>12745.03</v>
      </c>
      <c r="G13" s="8" t="s">
        <v>38</v>
      </c>
      <c r="H13" s="8" t="s">
        <v>39</v>
      </c>
      <c r="I13" s="8" t="s">
        <v>88</v>
      </c>
      <c r="J13" s="8"/>
      <c r="K13" s="8" t="str">
        <f aca="false">IF(D13="","",IF(COUNTIF($D$2:$D$321,D13)&gt;1,"DUPLICATE","OK"))</f>
        <v>OK</v>
      </c>
      <c r="L13" s="8"/>
      <c r="M13" s="8"/>
    </row>
    <row r="14" customFormat="false" ht="15" hidden="false" customHeight="false" outlineLevel="0" collapsed="false">
      <c r="A14" s="5" t="s">
        <v>89</v>
      </c>
      <c r="B14" s="6" t="n">
        <v>45674</v>
      </c>
      <c r="C14" s="5" t="s">
        <v>90</v>
      </c>
      <c r="D14" s="5" t="s">
        <v>91</v>
      </c>
      <c r="E14" s="5" t="s">
        <v>92</v>
      </c>
      <c r="F14" s="7" t="n">
        <v>14902.12</v>
      </c>
      <c r="G14" s="5" t="s">
        <v>78</v>
      </c>
      <c r="H14" s="5" t="s">
        <v>79</v>
      </c>
      <c r="I14" s="5" t="s">
        <v>40</v>
      </c>
      <c r="J14" s="5"/>
      <c r="K14" s="5" t="str">
        <f aca="false">IF(D14="","",IF(COUNTIF($D$2:$D$321,D14)&gt;1,"DUPLICATE","OK"))</f>
        <v>OK</v>
      </c>
      <c r="L14" s="5"/>
      <c r="M14" s="5"/>
    </row>
    <row r="15" customFormat="false" ht="15" hidden="false" customHeight="false" outlineLevel="0" collapsed="false">
      <c r="A15" s="8" t="s">
        <v>93</v>
      </c>
      <c r="B15" s="9" t="n">
        <v>45819</v>
      </c>
      <c r="C15" s="8" t="s">
        <v>94</v>
      </c>
      <c r="D15" s="8" t="s">
        <v>95</v>
      </c>
      <c r="E15" s="8" t="s">
        <v>96</v>
      </c>
      <c r="F15" s="10" t="n">
        <v>3969.02</v>
      </c>
      <c r="G15" s="8" t="s">
        <v>78</v>
      </c>
      <c r="H15" s="8" t="s">
        <v>79</v>
      </c>
      <c r="I15" s="8" t="s">
        <v>57</v>
      </c>
      <c r="J15" s="8"/>
      <c r="K15" s="8" t="str">
        <f aca="false">IF(D15="","",IF(COUNTIF($D$2:$D$321,D15)&gt;1,"DUPLICATE","OK"))</f>
        <v>OK</v>
      </c>
      <c r="L15" s="8"/>
      <c r="M15" s="8"/>
    </row>
    <row r="16" customFormat="false" ht="15" hidden="false" customHeight="false" outlineLevel="0" collapsed="false">
      <c r="A16" s="5" t="s">
        <v>97</v>
      </c>
      <c r="B16" s="6" t="n">
        <v>45729</v>
      </c>
      <c r="C16" s="5" t="s">
        <v>98</v>
      </c>
      <c r="D16" s="5" t="s">
        <v>99</v>
      </c>
      <c r="E16" s="5" t="s">
        <v>100</v>
      </c>
      <c r="F16" s="7" t="n">
        <v>4596.51</v>
      </c>
      <c r="G16" s="5" t="s">
        <v>62</v>
      </c>
      <c r="H16" s="5" t="s">
        <v>39</v>
      </c>
      <c r="I16" s="5" t="s">
        <v>52</v>
      </c>
      <c r="J16" s="5"/>
      <c r="K16" s="5" t="str">
        <f aca="false">IF(D16="","",IF(COUNTIF($D$2:$D$321,D16)&gt;1,"DUPLICATE","OK"))</f>
        <v>OK</v>
      </c>
      <c r="L16" s="5"/>
      <c r="M16" s="5"/>
    </row>
    <row r="17" customFormat="false" ht="15" hidden="false" customHeight="false" outlineLevel="0" collapsed="false">
      <c r="A17" s="8" t="s">
        <v>101</v>
      </c>
      <c r="B17" s="9" t="n">
        <v>45862</v>
      </c>
      <c r="C17" s="8" t="s">
        <v>54</v>
      </c>
      <c r="D17" s="8" t="s">
        <v>102</v>
      </c>
      <c r="E17" s="8" t="s">
        <v>56</v>
      </c>
      <c r="F17" s="10" t="n">
        <v>6725.64</v>
      </c>
      <c r="G17" s="8" t="s">
        <v>38</v>
      </c>
      <c r="H17" s="8" t="s">
        <v>39</v>
      </c>
      <c r="I17" s="8" t="s">
        <v>57</v>
      </c>
      <c r="J17" s="8"/>
      <c r="K17" s="8" t="str">
        <f aca="false">IF(D17="","",IF(COUNTIF($D$2:$D$321,D17)&gt;1,"DUPLICATE","OK"))</f>
        <v>OK</v>
      </c>
      <c r="L17" s="8"/>
      <c r="M17" s="8"/>
    </row>
    <row r="18" customFormat="false" ht="15" hidden="false" customHeight="false" outlineLevel="0" collapsed="false">
      <c r="A18" s="5" t="s">
        <v>103</v>
      </c>
      <c r="B18" s="6" t="n">
        <v>45714</v>
      </c>
      <c r="C18" s="5" t="s">
        <v>104</v>
      </c>
      <c r="D18" s="5" t="s">
        <v>105</v>
      </c>
      <c r="E18" s="5" t="s">
        <v>106</v>
      </c>
      <c r="F18" s="7" t="n">
        <v>2865.69</v>
      </c>
      <c r="G18" s="5" t="s">
        <v>38</v>
      </c>
      <c r="H18" s="5" t="s">
        <v>39</v>
      </c>
      <c r="I18" s="5" t="s">
        <v>57</v>
      </c>
      <c r="J18" s="5"/>
      <c r="K18" s="5" t="str">
        <f aca="false">IF(D18="","",IF(COUNTIF($D$2:$D$321,D18)&gt;1,"DUPLICATE","OK"))</f>
        <v>OK</v>
      </c>
      <c r="L18" s="5"/>
      <c r="M18" s="5"/>
    </row>
    <row r="19" customFormat="false" ht="15" hidden="false" customHeight="false" outlineLevel="0" collapsed="false">
      <c r="A19" s="8" t="s">
        <v>107</v>
      </c>
      <c r="B19" s="9" t="n">
        <v>45855</v>
      </c>
      <c r="C19" s="8" t="s">
        <v>83</v>
      </c>
      <c r="D19" s="8" t="s">
        <v>108</v>
      </c>
      <c r="E19" s="8" t="s">
        <v>85</v>
      </c>
      <c r="F19" s="10" t="n">
        <v>7087.78</v>
      </c>
      <c r="G19" s="8" t="s">
        <v>78</v>
      </c>
      <c r="H19" s="8" t="s">
        <v>39</v>
      </c>
      <c r="I19" s="8" t="s">
        <v>88</v>
      </c>
      <c r="J19" s="8"/>
      <c r="K19" s="8" t="str">
        <f aca="false">IF(D19="","",IF(COUNTIF($D$2:$D$321,D19)&gt;1,"DUPLICATE","OK"))</f>
        <v>OK</v>
      </c>
      <c r="L19" s="8"/>
      <c r="M19" s="8"/>
    </row>
    <row r="20" customFormat="false" ht="15" hidden="false" customHeight="false" outlineLevel="0" collapsed="false">
      <c r="A20" s="5" t="s">
        <v>109</v>
      </c>
      <c r="B20" s="6" t="n">
        <v>46006</v>
      </c>
      <c r="C20" s="5" t="s">
        <v>42</v>
      </c>
      <c r="D20" s="5" t="s">
        <v>110</v>
      </c>
      <c r="E20" s="5" t="s">
        <v>44</v>
      </c>
      <c r="F20" s="7" t="n">
        <v>13345.92</v>
      </c>
      <c r="G20" s="5" t="s">
        <v>62</v>
      </c>
      <c r="H20" s="5" t="s">
        <v>39</v>
      </c>
      <c r="I20" s="5"/>
      <c r="J20" s="5"/>
      <c r="K20" s="5" t="str">
        <f aca="false">IF(D20="","",IF(COUNTIF($D$2:$D$321,D20)&gt;1,"DUPLICATE","OK"))</f>
        <v>OK</v>
      </c>
      <c r="L20" s="5"/>
      <c r="M20" s="5"/>
    </row>
    <row r="21" customFormat="false" ht="15" hidden="false" customHeight="false" outlineLevel="0" collapsed="false">
      <c r="A21" s="8" t="s">
        <v>111</v>
      </c>
      <c r="B21" s="9" t="n">
        <v>45880</v>
      </c>
      <c r="C21" s="8" t="s">
        <v>35</v>
      </c>
      <c r="D21" s="8" t="s">
        <v>112</v>
      </c>
      <c r="E21" s="8"/>
      <c r="F21" s="10" t="n">
        <v>2963.8</v>
      </c>
      <c r="G21" s="8" t="s">
        <v>45</v>
      </c>
      <c r="H21" s="8" t="s">
        <v>39</v>
      </c>
      <c r="I21" s="8" t="s">
        <v>88</v>
      </c>
      <c r="J21" s="8"/>
      <c r="K21" s="8" t="str">
        <f aca="false">IF(D21="","",IF(COUNTIF($D$2:$D$321,D21)&gt;1,"DUPLICATE","OK"))</f>
        <v>OK</v>
      </c>
      <c r="L21" s="8"/>
      <c r="M21" s="8"/>
    </row>
    <row r="22" customFormat="false" ht="15" hidden="false" customHeight="false" outlineLevel="0" collapsed="false">
      <c r="A22" s="5" t="s">
        <v>113</v>
      </c>
      <c r="B22" s="6" t="n">
        <v>45917</v>
      </c>
      <c r="C22" s="5" t="s">
        <v>114</v>
      </c>
      <c r="D22" s="5" t="s">
        <v>115</v>
      </c>
      <c r="E22" s="5" t="s">
        <v>116</v>
      </c>
      <c r="F22" s="7" t="n">
        <v>16887.55</v>
      </c>
      <c r="G22" s="5" t="s">
        <v>62</v>
      </c>
      <c r="H22" s="5" t="s">
        <v>39</v>
      </c>
      <c r="I22" s="5" t="s">
        <v>52</v>
      </c>
      <c r="J22" s="5"/>
      <c r="K22" s="5" t="str">
        <f aca="false">IF(D22="","",IF(COUNTIF($D$2:$D$321,D22)&gt;1,"DUPLICATE","OK"))</f>
        <v>OK</v>
      </c>
      <c r="L22" s="5"/>
      <c r="M22" s="5"/>
    </row>
    <row r="23" customFormat="false" ht="15" hidden="false" customHeight="false" outlineLevel="0" collapsed="false">
      <c r="A23" s="8" t="s">
        <v>117</v>
      </c>
      <c r="B23" s="9" t="n">
        <v>45736</v>
      </c>
      <c r="C23" s="8" t="s">
        <v>83</v>
      </c>
      <c r="D23" s="8" t="s">
        <v>118</v>
      </c>
      <c r="E23" s="8" t="s">
        <v>85</v>
      </c>
      <c r="F23" s="10" t="n">
        <v>6945.58</v>
      </c>
      <c r="G23" s="8" t="s">
        <v>38</v>
      </c>
      <c r="H23" s="8" t="s">
        <v>39</v>
      </c>
      <c r="I23" s="8" t="s">
        <v>52</v>
      </c>
      <c r="J23" s="8"/>
      <c r="K23" s="8" t="str">
        <f aca="false">IF(D23="","",IF(COUNTIF($D$2:$D$321,D23)&gt;1,"DUPLICATE","OK"))</f>
        <v>OK</v>
      </c>
      <c r="L23" s="8"/>
      <c r="M23" s="8"/>
    </row>
    <row r="24" customFormat="false" ht="15" hidden="false" customHeight="false" outlineLevel="0" collapsed="false">
      <c r="A24" s="5" t="s">
        <v>119</v>
      </c>
      <c r="B24" s="6" t="n">
        <v>45823</v>
      </c>
      <c r="C24" s="5" t="s">
        <v>120</v>
      </c>
      <c r="D24" s="5" t="s">
        <v>121</v>
      </c>
      <c r="E24" s="5" t="s">
        <v>122</v>
      </c>
      <c r="F24" s="7" t="n">
        <v>9062.22</v>
      </c>
      <c r="G24" s="5" t="s">
        <v>45</v>
      </c>
      <c r="H24" s="5" t="s">
        <v>79</v>
      </c>
      <c r="I24" s="5" t="s">
        <v>88</v>
      </c>
      <c r="J24" s="5"/>
      <c r="K24" s="5" t="str">
        <f aca="false">IF(D24="","",IF(COUNTIF($D$2:$D$321,D24)&gt;1,"DUPLICATE","OK"))</f>
        <v>OK</v>
      </c>
      <c r="L24" s="5"/>
      <c r="M24" s="5"/>
    </row>
    <row r="25" customFormat="false" ht="15" hidden="false" customHeight="false" outlineLevel="0" collapsed="false">
      <c r="A25" s="8" t="s">
        <v>123</v>
      </c>
      <c r="B25" s="9" t="n">
        <v>45781</v>
      </c>
      <c r="C25" s="8" t="s">
        <v>49</v>
      </c>
      <c r="D25" s="8" t="s">
        <v>124</v>
      </c>
      <c r="E25" s="8" t="s">
        <v>51</v>
      </c>
      <c r="F25" s="10" t="n">
        <v>16248.67</v>
      </c>
      <c r="G25" s="8" t="s">
        <v>45</v>
      </c>
      <c r="H25" s="8" t="s">
        <v>46</v>
      </c>
      <c r="I25" s="8" t="s">
        <v>57</v>
      </c>
      <c r="J25" s="8"/>
      <c r="K25" s="8" t="str">
        <f aca="false">IF(D25="","",IF(COUNTIF($D$2:$D$321,D25)&gt;1,"DUPLICATE","OK"))</f>
        <v>OK</v>
      </c>
      <c r="L25" s="8"/>
      <c r="M25" s="8"/>
    </row>
    <row r="26" customFormat="false" ht="15" hidden="false" customHeight="false" outlineLevel="0" collapsed="false">
      <c r="A26" s="5" t="s">
        <v>125</v>
      </c>
      <c r="B26" s="6" t="n">
        <v>45722</v>
      </c>
      <c r="C26" s="5" t="s">
        <v>104</v>
      </c>
      <c r="D26" s="5" t="s">
        <v>126</v>
      </c>
      <c r="E26" s="5" t="s">
        <v>106</v>
      </c>
      <c r="F26" s="7" t="n">
        <v>2414.46</v>
      </c>
      <c r="G26" s="5" t="s">
        <v>78</v>
      </c>
      <c r="H26" s="5" t="s">
        <v>39</v>
      </c>
      <c r="I26" s="5" t="s">
        <v>47</v>
      </c>
      <c r="J26" s="5"/>
      <c r="K26" s="5" t="str">
        <f aca="false">IF(D26="","",IF(COUNTIF($D$2:$D$321,D26)&gt;1,"DUPLICATE","OK"))</f>
        <v>OK</v>
      </c>
      <c r="L26" s="5"/>
      <c r="M26" s="5"/>
    </row>
    <row r="27" customFormat="false" ht="15" hidden="false" customHeight="false" outlineLevel="0" collapsed="false">
      <c r="A27" s="8" t="s">
        <v>127</v>
      </c>
      <c r="B27" s="9" t="n">
        <v>45968</v>
      </c>
      <c r="C27" s="8" t="s">
        <v>128</v>
      </c>
      <c r="D27" s="8" t="s">
        <v>129</v>
      </c>
      <c r="E27" s="8" t="s">
        <v>130</v>
      </c>
      <c r="F27" s="10" t="n">
        <v>7854.01</v>
      </c>
      <c r="G27" s="8" t="s">
        <v>38</v>
      </c>
      <c r="H27" s="8" t="s">
        <v>39</v>
      </c>
      <c r="I27" s="8" t="s">
        <v>47</v>
      </c>
      <c r="J27" s="8"/>
      <c r="K27" s="8" t="str">
        <f aca="false">IF(D27="","",IF(COUNTIF($D$2:$D$321,D27)&gt;1,"DUPLICATE","OK"))</f>
        <v>OK</v>
      </c>
      <c r="L27" s="8"/>
      <c r="M27" s="8"/>
    </row>
    <row r="28" customFormat="false" ht="15" hidden="false" customHeight="false" outlineLevel="0" collapsed="false">
      <c r="A28" s="5" t="s">
        <v>131</v>
      </c>
      <c r="B28" s="6" t="n">
        <v>46001</v>
      </c>
      <c r="C28" s="5" t="s">
        <v>75</v>
      </c>
      <c r="D28" s="5" t="s">
        <v>132</v>
      </c>
      <c r="E28" s="5" t="s">
        <v>77</v>
      </c>
      <c r="F28" s="7" t="n">
        <v>12038.5</v>
      </c>
      <c r="G28" s="5" t="s">
        <v>78</v>
      </c>
      <c r="H28" s="5" t="s">
        <v>39</v>
      </c>
      <c r="I28" s="5" t="s">
        <v>57</v>
      </c>
      <c r="J28" s="5"/>
      <c r="K28" s="5" t="str">
        <f aca="false">IF(D28="","",IF(COUNTIF($D$2:$D$321,D28)&gt;1,"DUPLICATE","OK"))</f>
        <v>OK</v>
      </c>
      <c r="L28" s="5"/>
      <c r="M28" s="5"/>
    </row>
    <row r="29" customFormat="false" ht="15" hidden="false" customHeight="false" outlineLevel="0" collapsed="false">
      <c r="A29" s="8" t="s">
        <v>133</v>
      </c>
      <c r="B29" s="9" t="n">
        <v>45773</v>
      </c>
      <c r="C29" s="8" t="s">
        <v>35</v>
      </c>
      <c r="D29" s="8" t="s">
        <v>134</v>
      </c>
      <c r="E29" s="8" t="s">
        <v>37</v>
      </c>
      <c r="F29" s="10" t="n">
        <v>1226.6</v>
      </c>
      <c r="G29" s="8" t="s">
        <v>45</v>
      </c>
      <c r="H29" s="8" t="s">
        <v>39</v>
      </c>
      <c r="I29" s="8" t="s">
        <v>52</v>
      </c>
      <c r="J29" s="8"/>
      <c r="K29" s="8" t="str">
        <f aca="false">IF(D29="","",IF(COUNTIF($D$2:$D$321,D29)&gt;1,"DUPLICATE","OK"))</f>
        <v>OK</v>
      </c>
      <c r="L29" s="8"/>
      <c r="M29" s="8"/>
    </row>
    <row r="30" customFormat="false" ht="15" hidden="false" customHeight="false" outlineLevel="0" collapsed="false">
      <c r="A30" s="5" t="s">
        <v>135</v>
      </c>
      <c r="B30" s="6" t="n">
        <v>45770</v>
      </c>
      <c r="C30" s="5" t="s">
        <v>49</v>
      </c>
      <c r="D30" s="5" t="s">
        <v>136</v>
      </c>
      <c r="E30" s="5" t="s">
        <v>51</v>
      </c>
      <c r="F30" s="7" t="n">
        <v>177.71</v>
      </c>
      <c r="G30" s="5" t="s">
        <v>45</v>
      </c>
      <c r="H30" s="5" t="s">
        <v>46</v>
      </c>
      <c r="I30" s="5" t="s">
        <v>40</v>
      </c>
      <c r="J30" s="5"/>
      <c r="K30" s="5" t="str">
        <f aca="false">IF(D30="","",IF(COUNTIF($D$2:$D$321,D30)&gt;1,"DUPLICATE","OK"))</f>
        <v>OK</v>
      </c>
      <c r="L30" s="5"/>
      <c r="M30" s="5"/>
    </row>
    <row r="31" customFormat="false" ht="15" hidden="false" customHeight="false" outlineLevel="0" collapsed="false">
      <c r="A31" s="8" t="s">
        <v>137</v>
      </c>
      <c r="B31" s="9" t="n">
        <v>45694</v>
      </c>
      <c r="C31" s="8" t="s">
        <v>90</v>
      </c>
      <c r="D31" s="8" t="s">
        <v>138</v>
      </c>
      <c r="E31" s="8" t="s">
        <v>92</v>
      </c>
      <c r="F31" s="10" t="n">
        <v>9533.75</v>
      </c>
      <c r="G31" s="8" t="s">
        <v>62</v>
      </c>
      <c r="H31" s="8" t="s">
        <v>39</v>
      </c>
      <c r="I31" s="8" t="s">
        <v>57</v>
      </c>
      <c r="J31" s="8"/>
      <c r="K31" s="8" t="str">
        <f aca="false">IF(D31="","",IF(COUNTIF($D$2:$D$321,D31)&gt;1,"DUPLICATE","OK"))</f>
        <v>OK</v>
      </c>
      <c r="L31" s="8"/>
      <c r="M31" s="8"/>
    </row>
    <row r="32" customFormat="false" ht="15" hidden="false" customHeight="false" outlineLevel="0" collapsed="false">
      <c r="A32" s="5" t="s">
        <v>139</v>
      </c>
      <c r="B32" s="6" t="n">
        <v>45725</v>
      </c>
      <c r="C32" s="5" t="s">
        <v>94</v>
      </c>
      <c r="D32" s="5" t="s">
        <v>140</v>
      </c>
      <c r="E32" s="5" t="s">
        <v>96</v>
      </c>
      <c r="F32" s="7" t="n">
        <v>13394.47</v>
      </c>
      <c r="G32" s="5" t="s">
        <v>78</v>
      </c>
      <c r="H32" s="5" t="s">
        <v>46</v>
      </c>
      <c r="I32" s="5" t="s">
        <v>57</v>
      </c>
      <c r="J32" s="5"/>
      <c r="K32" s="5" t="str">
        <f aca="false">IF(D32="","",IF(COUNTIF($D$2:$D$321,D32)&gt;1,"DUPLICATE","OK"))</f>
        <v>DUPLICATE</v>
      </c>
      <c r="L32" s="5"/>
      <c r="M32" s="5"/>
    </row>
    <row r="33" customFormat="false" ht="15" hidden="false" customHeight="false" outlineLevel="0" collapsed="false">
      <c r="A33" s="8" t="s">
        <v>141</v>
      </c>
      <c r="B33" s="9" t="n">
        <v>45706</v>
      </c>
      <c r="C33" s="8" t="s">
        <v>54</v>
      </c>
      <c r="D33" s="8" t="s">
        <v>142</v>
      </c>
      <c r="E33" s="8" t="s">
        <v>56</v>
      </c>
      <c r="F33" s="10" t="n">
        <v>1833.86</v>
      </c>
      <c r="G33" s="8" t="s">
        <v>78</v>
      </c>
      <c r="H33" s="8" t="s">
        <v>79</v>
      </c>
      <c r="I33" s="8" t="s">
        <v>57</v>
      </c>
      <c r="J33" s="8"/>
      <c r="K33" s="8" t="str">
        <f aca="false">IF(D33="","",IF(COUNTIF($D$2:$D$321,D33)&gt;1,"DUPLICATE","OK"))</f>
        <v>OK</v>
      </c>
      <c r="L33" s="8"/>
      <c r="M33" s="8"/>
    </row>
    <row r="34" customFormat="false" ht="15" hidden="false" customHeight="false" outlineLevel="0" collapsed="false">
      <c r="A34" s="5" t="s">
        <v>143</v>
      </c>
      <c r="B34" s="6" t="n">
        <v>45685</v>
      </c>
      <c r="C34" s="5" t="s">
        <v>54</v>
      </c>
      <c r="D34" s="5" t="s">
        <v>144</v>
      </c>
      <c r="E34" s="5" t="s">
        <v>56</v>
      </c>
      <c r="F34" s="7" t="n">
        <v>12471.94</v>
      </c>
      <c r="G34" s="5" t="s">
        <v>45</v>
      </c>
      <c r="H34" s="5" t="s">
        <v>46</v>
      </c>
      <c r="I34" s="5" t="s">
        <v>57</v>
      </c>
      <c r="J34" s="5"/>
      <c r="K34" s="5" t="str">
        <f aca="false">IF(D34="","",IF(COUNTIF($D$2:$D$321,D34)&gt;1,"DUPLICATE","OK"))</f>
        <v>OK</v>
      </c>
      <c r="L34" s="5"/>
      <c r="M34" s="5"/>
    </row>
    <row r="35" customFormat="false" ht="15" hidden="false" customHeight="false" outlineLevel="0" collapsed="false">
      <c r="A35" s="8" t="s">
        <v>145</v>
      </c>
      <c r="B35" s="9" t="n">
        <v>45785</v>
      </c>
      <c r="C35" s="8" t="s">
        <v>59</v>
      </c>
      <c r="D35" s="8" t="s">
        <v>146</v>
      </c>
      <c r="E35" s="8" t="s">
        <v>61</v>
      </c>
      <c r="F35" s="10" t="n">
        <v>3580.79</v>
      </c>
      <c r="G35" s="8" t="s">
        <v>78</v>
      </c>
      <c r="H35" s="8" t="s">
        <v>46</v>
      </c>
      <c r="I35" s="8" t="s">
        <v>57</v>
      </c>
      <c r="J35" s="8"/>
      <c r="K35" s="8" t="str">
        <f aca="false">IF(D35="","",IF(COUNTIF($D$2:$D$321,D35)&gt;1,"DUPLICATE","OK"))</f>
        <v>OK</v>
      </c>
      <c r="L35" s="8"/>
      <c r="M35" s="8"/>
    </row>
    <row r="36" customFormat="false" ht="15" hidden="false" customHeight="false" outlineLevel="0" collapsed="false">
      <c r="A36" s="5" t="s">
        <v>147</v>
      </c>
      <c r="B36" s="6" t="n">
        <v>45894</v>
      </c>
      <c r="C36" s="5" t="s">
        <v>148</v>
      </c>
      <c r="D36" s="5" t="s">
        <v>149</v>
      </c>
      <c r="E36" s="5" t="s">
        <v>150</v>
      </c>
      <c r="F36" s="7" t="n">
        <v>4655.18</v>
      </c>
      <c r="G36" s="5" t="s">
        <v>45</v>
      </c>
      <c r="H36" s="5" t="s">
        <v>79</v>
      </c>
      <c r="I36" s="5" t="s">
        <v>52</v>
      </c>
      <c r="J36" s="5"/>
      <c r="K36" s="5" t="str">
        <f aca="false">IF(D36="","",IF(COUNTIF($D$2:$D$321,D36)&gt;1,"DUPLICATE","OK"))</f>
        <v>OK</v>
      </c>
      <c r="L36" s="5"/>
      <c r="M36" s="5"/>
    </row>
    <row r="37" customFormat="false" ht="15" hidden="false" customHeight="false" outlineLevel="0" collapsed="false">
      <c r="A37" s="8" t="s">
        <v>151</v>
      </c>
      <c r="B37" s="9" t="n">
        <v>45991</v>
      </c>
      <c r="C37" s="8" t="s">
        <v>35</v>
      </c>
      <c r="D37" s="8" t="s">
        <v>152</v>
      </c>
      <c r="E37" s="8" t="s">
        <v>37</v>
      </c>
      <c r="F37" s="10" t="n">
        <v>18486.76</v>
      </c>
      <c r="G37" s="8" t="s">
        <v>45</v>
      </c>
      <c r="H37" s="8" t="s">
        <v>46</v>
      </c>
      <c r="I37" s="8" t="s">
        <v>47</v>
      </c>
      <c r="J37" s="8"/>
      <c r="K37" s="8" t="str">
        <f aca="false">IF(D37="","",IF(COUNTIF($D$2:$D$321,D37)&gt;1,"DUPLICATE","OK"))</f>
        <v>OK</v>
      </c>
      <c r="L37" s="8"/>
      <c r="M37" s="8"/>
    </row>
    <row r="38" customFormat="false" ht="15" hidden="false" customHeight="false" outlineLevel="0" collapsed="false">
      <c r="A38" s="5" t="s">
        <v>153</v>
      </c>
      <c r="B38" s="6" t="n">
        <v>45906</v>
      </c>
      <c r="C38" s="5" t="s">
        <v>148</v>
      </c>
      <c r="D38" s="5" t="s">
        <v>154</v>
      </c>
      <c r="E38" s="5" t="s">
        <v>150</v>
      </c>
      <c r="F38" s="7" t="n">
        <v>8928.47</v>
      </c>
      <c r="G38" s="5" t="s">
        <v>78</v>
      </c>
      <c r="H38" s="5" t="s">
        <v>46</v>
      </c>
      <c r="I38" s="5" t="s">
        <v>47</v>
      </c>
      <c r="J38" s="5"/>
      <c r="K38" s="5" t="str">
        <f aca="false">IF(D38="","",IF(COUNTIF($D$2:$D$321,D38)&gt;1,"DUPLICATE","OK"))</f>
        <v>OK</v>
      </c>
      <c r="L38" s="5"/>
      <c r="M38" s="5"/>
    </row>
    <row r="39" customFormat="false" ht="15" hidden="false" customHeight="false" outlineLevel="0" collapsed="false">
      <c r="A39" s="8" t="s">
        <v>155</v>
      </c>
      <c r="B39" s="9" t="n">
        <v>45857</v>
      </c>
      <c r="C39" s="8" t="s">
        <v>65</v>
      </c>
      <c r="D39" s="8" t="s">
        <v>156</v>
      </c>
      <c r="E39" s="8" t="s">
        <v>67</v>
      </c>
      <c r="F39" s="10" t="n">
        <v>4939.32</v>
      </c>
      <c r="G39" s="8" t="s">
        <v>78</v>
      </c>
      <c r="H39" s="8" t="s">
        <v>79</v>
      </c>
      <c r="I39" s="8" t="s">
        <v>57</v>
      </c>
      <c r="J39" s="8"/>
      <c r="K39" s="8" t="str">
        <f aca="false">IF(D39="","",IF(COUNTIF($D$2:$D$321,D39)&gt;1,"DUPLICATE","OK"))</f>
        <v>OK</v>
      </c>
      <c r="L39" s="8"/>
      <c r="M39" s="8"/>
    </row>
    <row r="40" customFormat="false" ht="15" hidden="false" customHeight="false" outlineLevel="0" collapsed="false">
      <c r="A40" s="5" t="s">
        <v>157</v>
      </c>
      <c r="B40" s="6" t="n">
        <v>45907</v>
      </c>
      <c r="C40" s="5" t="s">
        <v>42</v>
      </c>
      <c r="D40" s="5" t="s">
        <v>158</v>
      </c>
      <c r="E40" s="5" t="s">
        <v>44</v>
      </c>
      <c r="F40" s="7" t="n">
        <v>2901.78</v>
      </c>
      <c r="G40" s="5" t="s">
        <v>62</v>
      </c>
      <c r="H40" s="5" t="s">
        <v>46</v>
      </c>
      <c r="I40" s="5" t="s">
        <v>40</v>
      </c>
      <c r="J40" s="5"/>
      <c r="K40" s="5" t="str">
        <f aca="false">IF(D40="","",IF(COUNTIF($D$2:$D$321,D40)&gt;1,"DUPLICATE","OK"))</f>
        <v>OK</v>
      </c>
      <c r="L40" s="5"/>
      <c r="M40" s="5"/>
    </row>
    <row r="41" customFormat="false" ht="15" hidden="false" customHeight="false" outlineLevel="0" collapsed="false">
      <c r="A41" s="8" t="s">
        <v>159</v>
      </c>
      <c r="B41" s="9" t="n">
        <v>45689</v>
      </c>
      <c r="C41" s="8" t="s">
        <v>160</v>
      </c>
      <c r="D41" s="8" t="s">
        <v>161</v>
      </c>
      <c r="E41" s="8" t="s">
        <v>162</v>
      </c>
      <c r="F41" s="10" t="n">
        <v>13848.89</v>
      </c>
      <c r="G41" s="8" t="s">
        <v>45</v>
      </c>
      <c r="H41" s="8" t="s">
        <v>46</v>
      </c>
      <c r="I41" s="8" t="s">
        <v>52</v>
      </c>
      <c r="J41" s="8"/>
      <c r="K41" s="8" t="str">
        <f aca="false">IF(D41="","",IF(COUNTIF($D$2:$D$321,D41)&gt;1,"DUPLICATE","OK"))</f>
        <v>OK</v>
      </c>
      <c r="L41" s="8"/>
      <c r="M41" s="8"/>
    </row>
    <row r="42" customFormat="false" ht="15" hidden="false" customHeight="false" outlineLevel="0" collapsed="false">
      <c r="A42" s="5" t="s">
        <v>163</v>
      </c>
      <c r="B42" s="6" t="n">
        <v>45929</v>
      </c>
      <c r="C42" s="5" t="s">
        <v>164</v>
      </c>
      <c r="D42" s="5" t="s">
        <v>165</v>
      </c>
      <c r="E42" s="5" t="s">
        <v>166</v>
      </c>
      <c r="F42" s="7" t="n">
        <v>2950.42</v>
      </c>
      <c r="G42" s="5" t="s">
        <v>45</v>
      </c>
      <c r="H42" s="5" t="s">
        <v>46</v>
      </c>
      <c r="I42" s="5" t="s">
        <v>40</v>
      </c>
      <c r="J42" s="5"/>
      <c r="K42" s="5" t="str">
        <f aca="false">IF(D42="","",IF(COUNTIF($D$2:$D$321,D42)&gt;1,"DUPLICATE","OK"))</f>
        <v>OK</v>
      </c>
      <c r="L42" s="5"/>
      <c r="M42" s="5"/>
    </row>
    <row r="43" customFormat="false" ht="15" hidden="false" customHeight="false" outlineLevel="0" collapsed="false">
      <c r="A43" s="8" t="s">
        <v>167</v>
      </c>
      <c r="B43" s="9" t="n">
        <v>46003</v>
      </c>
      <c r="C43" s="8" t="s">
        <v>83</v>
      </c>
      <c r="D43" s="8" t="s">
        <v>168</v>
      </c>
      <c r="E43" s="8" t="s">
        <v>85</v>
      </c>
      <c r="F43" s="10" t="n">
        <v>15949.87</v>
      </c>
      <c r="G43" s="8" t="s">
        <v>78</v>
      </c>
      <c r="H43" s="8" t="s">
        <v>46</v>
      </c>
      <c r="I43" s="8" t="s">
        <v>52</v>
      </c>
      <c r="J43" s="8"/>
      <c r="K43" s="8" t="str">
        <f aca="false">IF(D43="","",IF(COUNTIF($D$2:$D$321,D43)&gt;1,"DUPLICATE","OK"))</f>
        <v>OK</v>
      </c>
      <c r="L43" s="8"/>
      <c r="M43" s="8"/>
    </row>
    <row r="44" customFormat="false" ht="15" hidden="false" customHeight="false" outlineLevel="0" collapsed="false">
      <c r="A44" s="5" t="s">
        <v>169</v>
      </c>
      <c r="B44" s="6" t="n">
        <v>45962</v>
      </c>
      <c r="C44" s="5" t="s">
        <v>49</v>
      </c>
      <c r="D44" s="5" t="s">
        <v>170</v>
      </c>
      <c r="E44" s="5" t="s">
        <v>51</v>
      </c>
      <c r="F44" s="7" t="n">
        <v>778.43</v>
      </c>
      <c r="G44" s="5" t="s">
        <v>45</v>
      </c>
      <c r="H44" s="5" t="s">
        <v>79</v>
      </c>
      <c r="I44" s="5" t="s">
        <v>52</v>
      </c>
      <c r="J44" s="5"/>
      <c r="K44" s="5" t="str">
        <f aca="false">IF(D44="","",IF(COUNTIF($D$2:$D$321,D44)&gt;1,"DUPLICATE","OK"))</f>
        <v>OK</v>
      </c>
      <c r="L44" s="5"/>
      <c r="M44" s="5"/>
    </row>
    <row r="45" customFormat="false" ht="15" hidden="false" customHeight="false" outlineLevel="0" collapsed="false">
      <c r="A45" s="8" t="s">
        <v>171</v>
      </c>
      <c r="B45" s="9" t="n">
        <v>45819</v>
      </c>
      <c r="C45" s="8" t="s">
        <v>160</v>
      </c>
      <c r="D45" s="8" t="s">
        <v>172</v>
      </c>
      <c r="E45" s="8" t="s">
        <v>162</v>
      </c>
      <c r="F45" s="10" t="n">
        <v>17295</v>
      </c>
      <c r="G45" s="8" t="s">
        <v>38</v>
      </c>
      <c r="H45" s="8" t="s">
        <v>39</v>
      </c>
      <c r="I45" s="8" t="s">
        <v>88</v>
      </c>
      <c r="J45" s="8"/>
      <c r="K45" s="8" t="str">
        <f aca="false">IF(D45="","",IF(COUNTIF($D$2:$D$321,D45)&gt;1,"DUPLICATE","OK"))</f>
        <v>OK</v>
      </c>
      <c r="L45" s="8"/>
      <c r="M45" s="8"/>
    </row>
    <row r="46" customFormat="false" ht="15" hidden="false" customHeight="false" outlineLevel="0" collapsed="false">
      <c r="A46" s="5" t="s">
        <v>173</v>
      </c>
      <c r="B46" s="6" t="n">
        <v>45860</v>
      </c>
      <c r="C46" s="5" t="s">
        <v>49</v>
      </c>
      <c r="D46" s="5" t="s">
        <v>174</v>
      </c>
      <c r="E46" s="5" t="s">
        <v>51</v>
      </c>
      <c r="F46" s="7" t="n">
        <v>2460.36</v>
      </c>
      <c r="G46" s="5" t="s">
        <v>62</v>
      </c>
      <c r="H46" s="5" t="s">
        <v>79</v>
      </c>
      <c r="I46" s="5" t="s">
        <v>88</v>
      </c>
      <c r="J46" s="5"/>
      <c r="K46" s="5" t="str">
        <f aca="false">IF(D46="","",IF(COUNTIF($D$2:$D$321,D46)&gt;1,"DUPLICATE","OK"))</f>
        <v>OK</v>
      </c>
      <c r="L46" s="5"/>
      <c r="M46" s="5"/>
    </row>
    <row r="47" customFormat="false" ht="15" hidden="false" customHeight="false" outlineLevel="0" collapsed="false">
      <c r="A47" s="8" t="s">
        <v>175</v>
      </c>
      <c r="B47" s="9" t="n">
        <v>45892</v>
      </c>
      <c r="C47" s="8" t="s">
        <v>104</v>
      </c>
      <c r="D47" s="8" t="s">
        <v>176</v>
      </c>
      <c r="E47" s="8" t="s">
        <v>106</v>
      </c>
      <c r="F47" s="10" t="n">
        <v>11508.49</v>
      </c>
      <c r="G47" s="8" t="s">
        <v>45</v>
      </c>
      <c r="H47" s="8" t="s">
        <v>46</v>
      </c>
      <c r="I47" s="8" t="s">
        <v>52</v>
      </c>
      <c r="J47" s="8"/>
      <c r="K47" s="8" t="str">
        <f aca="false">IF(D47="","",IF(COUNTIF($D$2:$D$321,D47)&gt;1,"DUPLICATE","OK"))</f>
        <v>OK</v>
      </c>
      <c r="L47" s="8"/>
      <c r="M47" s="8"/>
    </row>
    <row r="48" customFormat="false" ht="15" hidden="false" customHeight="false" outlineLevel="0" collapsed="false">
      <c r="A48" s="5" t="s">
        <v>177</v>
      </c>
      <c r="B48" s="6" t="n">
        <v>45793</v>
      </c>
      <c r="C48" s="5" t="s">
        <v>94</v>
      </c>
      <c r="D48" s="5" t="s">
        <v>178</v>
      </c>
      <c r="E48" s="5" t="s">
        <v>96</v>
      </c>
      <c r="F48" s="7" t="n">
        <v>2489.49</v>
      </c>
      <c r="G48" s="5" t="s">
        <v>62</v>
      </c>
      <c r="H48" s="5" t="s">
        <v>46</v>
      </c>
      <c r="I48" s="5" t="s">
        <v>47</v>
      </c>
      <c r="J48" s="5"/>
      <c r="K48" s="5" t="str">
        <f aca="false">IF(D48="","",IF(COUNTIF($D$2:$D$321,D48)&gt;1,"DUPLICATE","OK"))</f>
        <v>OK</v>
      </c>
      <c r="L48" s="5"/>
      <c r="M48" s="5"/>
    </row>
    <row r="49" customFormat="false" ht="15" hidden="false" customHeight="false" outlineLevel="0" collapsed="false">
      <c r="A49" s="8" t="s">
        <v>179</v>
      </c>
      <c r="B49" s="9" t="n">
        <v>45738</v>
      </c>
      <c r="C49" s="8" t="s">
        <v>71</v>
      </c>
      <c r="D49" s="8" t="s">
        <v>180</v>
      </c>
      <c r="E49" s="8" t="s">
        <v>73</v>
      </c>
      <c r="F49" s="10" t="n">
        <v>8131.7</v>
      </c>
      <c r="G49" s="8" t="s">
        <v>62</v>
      </c>
      <c r="H49" s="8" t="s">
        <v>39</v>
      </c>
      <c r="I49" s="8" t="s">
        <v>52</v>
      </c>
      <c r="J49" s="8"/>
      <c r="K49" s="8" t="str">
        <f aca="false">IF(D49="","",IF(COUNTIF($D$2:$D$321,D49)&gt;1,"DUPLICATE","OK"))</f>
        <v>OK</v>
      </c>
      <c r="L49" s="8"/>
      <c r="M49" s="8"/>
    </row>
    <row r="50" customFormat="false" ht="15" hidden="false" customHeight="false" outlineLevel="0" collapsed="false">
      <c r="A50" s="5" t="s">
        <v>181</v>
      </c>
      <c r="B50" s="6" t="n">
        <v>45941</v>
      </c>
      <c r="C50" s="5" t="s">
        <v>120</v>
      </c>
      <c r="D50" s="5" t="s">
        <v>182</v>
      </c>
      <c r="E50" s="5" t="s">
        <v>122</v>
      </c>
      <c r="F50" s="7" t="n">
        <v>5570.03</v>
      </c>
      <c r="G50" s="5" t="s">
        <v>45</v>
      </c>
      <c r="H50" s="5" t="s">
        <v>46</v>
      </c>
      <c r="I50" s="5" t="s">
        <v>88</v>
      </c>
      <c r="J50" s="5"/>
      <c r="K50" s="5" t="str">
        <f aca="false">IF(D50="","",IF(COUNTIF($D$2:$D$321,D50)&gt;1,"DUPLICATE","OK"))</f>
        <v>OK</v>
      </c>
      <c r="L50" s="5"/>
      <c r="M50" s="5"/>
    </row>
    <row r="51" customFormat="false" ht="15" hidden="false" customHeight="false" outlineLevel="0" collapsed="false">
      <c r="A51" s="8" t="s">
        <v>183</v>
      </c>
      <c r="B51" s="9" t="n">
        <v>45941</v>
      </c>
      <c r="C51" s="8" t="s">
        <v>35</v>
      </c>
      <c r="D51" s="8" t="s">
        <v>184</v>
      </c>
      <c r="E51" s="8" t="s">
        <v>37</v>
      </c>
      <c r="F51" s="10" t="n">
        <v>2913.79</v>
      </c>
      <c r="G51" s="8" t="s">
        <v>62</v>
      </c>
      <c r="H51" s="8" t="s">
        <v>39</v>
      </c>
      <c r="I51" s="8" t="s">
        <v>47</v>
      </c>
      <c r="J51" s="8"/>
      <c r="K51" s="8" t="str">
        <f aca="false">IF(D51="","",IF(COUNTIF($D$2:$D$321,D51)&gt;1,"DUPLICATE","OK"))</f>
        <v>OK</v>
      </c>
      <c r="L51" s="8"/>
      <c r="M51" s="8"/>
    </row>
    <row r="52" customFormat="false" ht="15" hidden="false" customHeight="false" outlineLevel="0" collapsed="false">
      <c r="A52" s="5" t="s">
        <v>185</v>
      </c>
      <c r="B52" s="6" t="n">
        <v>46009</v>
      </c>
      <c r="C52" s="5" t="s">
        <v>59</v>
      </c>
      <c r="D52" s="5" t="s">
        <v>186</v>
      </c>
      <c r="E52" s="5" t="s">
        <v>61</v>
      </c>
      <c r="F52" s="7" t="n">
        <v>11749.86</v>
      </c>
      <c r="G52" s="5" t="s">
        <v>62</v>
      </c>
      <c r="H52" s="5" t="s">
        <v>39</v>
      </c>
      <c r="I52" s="5" t="s">
        <v>57</v>
      </c>
      <c r="J52" s="5"/>
      <c r="K52" s="5" t="str">
        <f aca="false">IF(D52="","",IF(COUNTIF($D$2:$D$321,D52)&gt;1,"DUPLICATE","OK"))</f>
        <v>OK</v>
      </c>
      <c r="L52" s="5"/>
      <c r="M52" s="5"/>
    </row>
    <row r="53" customFormat="false" ht="15" hidden="false" customHeight="false" outlineLevel="0" collapsed="false">
      <c r="A53" s="8" t="s">
        <v>187</v>
      </c>
      <c r="B53" s="9" t="n">
        <v>45705</v>
      </c>
      <c r="C53" s="8" t="s">
        <v>128</v>
      </c>
      <c r="D53" s="8" t="s">
        <v>188</v>
      </c>
      <c r="E53" s="8" t="s">
        <v>130</v>
      </c>
      <c r="F53" s="10" t="n">
        <v>11750.72</v>
      </c>
      <c r="G53" s="8" t="s">
        <v>62</v>
      </c>
      <c r="H53" s="8" t="s">
        <v>46</v>
      </c>
      <c r="I53" s="8" t="s">
        <v>40</v>
      </c>
      <c r="J53" s="8"/>
      <c r="K53" s="8" t="str">
        <f aca="false">IF(D53="","",IF(COUNTIF($D$2:$D$321,D53)&gt;1,"DUPLICATE","OK"))</f>
        <v>OK</v>
      </c>
      <c r="L53" s="8"/>
      <c r="M53" s="8"/>
    </row>
    <row r="54" customFormat="false" ht="15" hidden="false" customHeight="false" outlineLevel="0" collapsed="false">
      <c r="A54" s="5" t="s">
        <v>189</v>
      </c>
      <c r="B54" s="6" t="n">
        <v>45984</v>
      </c>
      <c r="C54" s="5" t="s">
        <v>59</v>
      </c>
      <c r="D54" s="5" t="s">
        <v>190</v>
      </c>
      <c r="E54" s="5" t="s">
        <v>61</v>
      </c>
      <c r="F54" s="7" t="n">
        <v>18127.17</v>
      </c>
      <c r="G54" s="5" t="s">
        <v>38</v>
      </c>
      <c r="H54" s="5" t="s">
        <v>39</v>
      </c>
      <c r="I54" s="5" t="s">
        <v>57</v>
      </c>
      <c r="J54" s="5"/>
      <c r="K54" s="5" t="str">
        <f aca="false">IF(D54="","",IF(COUNTIF($D$2:$D$321,D54)&gt;1,"DUPLICATE","OK"))</f>
        <v>OK</v>
      </c>
      <c r="L54" s="5"/>
      <c r="M54" s="5"/>
    </row>
    <row r="55" customFormat="false" ht="15" hidden="false" customHeight="false" outlineLevel="0" collapsed="false">
      <c r="A55" s="8" t="s">
        <v>191</v>
      </c>
      <c r="B55" s="9" t="n">
        <v>45945</v>
      </c>
      <c r="C55" s="8" t="s">
        <v>42</v>
      </c>
      <c r="D55" s="8" t="s">
        <v>192</v>
      </c>
      <c r="E55" s="8" t="s">
        <v>44</v>
      </c>
      <c r="F55" s="10" t="n">
        <v>223.45</v>
      </c>
      <c r="G55" s="8" t="s">
        <v>45</v>
      </c>
      <c r="H55" s="8" t="s">
        <v>39</v>
      </c>
      <c r="I55" s="8" t="s">
        <v>47</v>
      </c>
      <c r="J55" s="8"/>
      <c r="K55" s="8" t="str">
        <f aca="false">IF(D55="","",IF(COUNTIF($D$2:$D$321,D55)&gt;1,"DUPLICATE","OK"))</f>
        <v>OK</v>
      </c>
      <c r="L55" s="8"/>
      <c r="M55" s="8"/>
    </row>
    <row r="56" customFormat="false" ht="15" hidden="false" customHeight="false" outlineLevel="0" collapsed="false">
      <c r="A56" s="5" t="s">
        <v>193</v>
      </c>
      <c r="B56" s="6" t="n">
        <v>45847</v>
      </c>
      <c r="C56" s="5" t="s">
        <v>42</v>
      </c>
      <c r="D56" s="5" t="s">
        <v>194</v>
      </c>
      <c r="E56" s="5" t="s">
        <v>44</v>
      </c>
      <c r="F56" s="7" t="n">
        <v>10795.21</v>
      </c>
      <c r="G56" s="5" t="s">
        <v>38</v>
      </c>
      <c r="H56" s="5" t="s">
        <v>79</v>
      </c>
      <c r="I56" s="5" t="s">
        <v>47</v>
      </c>
      <c r="J56" s="5"/>
      <c r="K56" s="5" t="str">
        <f aca="false">IF(D56="","",IF(COUNTIF($D$2:$D$321,D56)&gt;1,"DUPLICATE","OK"))</f>
        <v>OK</v>
      </c>
      <c r="L56" s="5"/>
      <c r="M56" s="5"/>
    </row>
    <row r="57" customFormat="false" ht="15" hidden="false" customHeight="false" outlineLevel="0" collapsed="false">
      <c r="A57" s="8" t="s">
        <v>195</v>
      </c>
      <c r="B57" s="9" t="n">
        <v>45844</v>
      </c>
      <c r="C57" s="8" t="s">
        <v>90</v>
      </c>
      <c r="D57" s="8" t="s">
        <v>196</v>
      </c>
      <c r="E57" s="8" t="s">
        <v>92</v>
      </c>
      <c r="F57" s="10" t="n">
        <v>16635.7</v>
      </c>
      <c r="G57" s="8" t="s">
        <v>45</v>
      </c>
      <c r="H57" s="8" t="s">
        <v>79</v>
      </c>
      <c r="I57" s="8" t="s">
        <v>47</v>
      </c>
      <c r="J57" s="8"/>
      <c r="K57" s="8" t="str">
        <f aca="false">IF(D57="","",IF(COUNTIF($D$2:$D$321,D57)&gt;1,"DUPLICATE","OK"))</f>
        <v>OK</v>
      </c>
      <c r="L57" s="8"/>
      <c r="M57" s="8"/>
    </row>
    <row r="58" customFormat="false" ht="15" hidden="false" customHeight="false" outlineLevel="0" collapsed="false">
      <c r="A58" s="5" t="s">
        <v>197</v>
      </c>
      <c r="B58" s="6" t="n">
        <v>45710</v>
      </c>
      <c r="C58" s="5" t="s">
        <v>49</v>
      </c>
      <c r="D58" s="5" t="s">
        <v>198</v>
      </c>
      <c r="E58" s="5" t="s">
        <v>51</v>
      </c>
      <c r="F58" s="7" t="n">
        <v>6572.14</v>
      </c>
      <c r="G58" s="5" t="s">
        <v>78</v>
      </c>
      <c r="H58" s="5" t="s">
        <v>39</v>
      </c>
      <c r="I58" s="5" t="s">
        <v>47</v>
      </c>
      <c r="J58" s="5"/>
      <c r="K58" s="5" t="str">
        <f aca="false">IF(D58="","",IF(COUNTIF($D$2:$D$321,D58)&gt;1,"DUPLICATE","OK"))</f>
        <v>OK</v>
      </c>
      <c r="L58" s="5"/>
      <c r="M58" s="5"/>
    </row>
    <row r="59" customFormat="false" ht="15" hidden="false" customHeight="false" outlineLevel="0" collapsed="false">
      <c r="A59" s="8" t="s">
        <v>199</v>
      </c>
      <c r="B59" s="9" t="n">
        <v>45748</v>
      </c>
      <c r="C59" s="8" t="s">
        <v>49</v>
      </c>
      <c r="D59" s="8" t="s">
        <v>200</v>
      </c>
      <c r="E59" s="8" t="s">
        <v>51</v>
      </c>
      <c r="F59" s="10" t="n">
        <v>16311.54</v>
      </c>
      <c r="G59" s="8" t="s">
        <v>45</v>
      </c>
      <c r="H59" s="8" t="s">
        <v>46</v>
      </c>
      <c r="I59" s="8" t="s">
        <v>88</v>
      </c>
      <c r="J59" s="8"/>
      <c r="K59" s="8" t="str">
        <f aca="false">IF(D59="","",IF(COUNTIF($D$2:$D$321,D59)&gt;1,"DUPLICATE","OK"))</f>
        <v>DUPLICATE</v>
      </c>
      <c r="L59" s="8"/>
      <c r="M59" s="8"/>
    </row>
    <row r="60" customFormat="false" ht="15" hidden="false" customHeight="false" outlineLevel="0" collapsed="false">
      <c r="A60" s="5" t="s">
        <v>201</v>
      </c>
      <c r="B60" s="6" t="n">
        <v>45785</v>
      </c>
      <c r="C60" s="5" t="s">
        <v>54</v>
      </c>
      <c r="D60" s="5" t="s">
        <v>202</v>
      </c>
      <c r="E60" s="5" t="s">
        <v>56</v>
      </c>
      <c r="F60" s="7" t="n">
        <v>4968.9</v>
      </c>
      <c r="G60" s="5" t="s">
        <v>45</v>
      </c>
      <c r="H60" s="5" t="s">
        <v>79</v>
      </c>
      <c r="I60" s="5" t="s">
        <v>40</v>
      </c>
      <c r="J60" s="5"/>
      <c r="K60" s="5" t="str">
        <f aca="false">IF(D60="","",IF(COUNTIF($D$2:$D$321,D60)&gt;1,"DUPLICATE","OK"))</f>
        <v>OK</v>
      </c>
      <c r="L60" s="5"/>
      <c r="M60" s="5"/>
    </row>
    <row r="61" customFormat="false" ht="15" hidden="false" customHeight="false" outlineLevel="0" collapsed="false">
      <c r="A61" s="8" t="s">
        <v>203</v>
      </c>
      <c r="B61" s="9" t="n">
        <v>45760</v>
      </c>
      <c r="C61" s="8" t="s">
        <v>164</v>
      </c>
      <c r="D61" s="8" t="s">
        <v>204</v>
      </c>
      <c r="E61" s="8" t="s">
        <v>166</v>
      </c>
      <c r="F61" s="10" t="n">
        <v>15115.11</v>
      </c>
      <c r="G61" s="8" t="s">
        <v>78</v>
      </c>
      <c r="H61" s="8" t="s">
        <v>79</v>
      </c>
      <c r="I61" s="8" t="s">
        <v>88</v>
      </c>
      <c r="J61" s="8"/>
      <c r="K61" s="8" t="str">
        <f aca="false">IF(D61="","",IF(COUNTIF($D$2:$D$321,D61)&gt;1,"DUPLICATE","OK"))</f>
        <v>OK</v>
      </c>
      <c r="L61" s="8"/>
      <c r="M61" s="8"/>
    </row>
    <row r="62" customFormat="false" ht="15" hidden="false" customHeight="false" outlineLevel="0" collapsed="false">
      <c r="A62" s="5" t="s">
        <v>205</v>
      </c>
      <c r="B62" s="6" t="n">
        <v>45670</v>
      </c>
      <c r="C62" s="5" t="s">
        <v>49</v>
      </c>
      <c r="D62" s="5" t="s">
        <v>206</v>
      </c>
      <c r="E62" s="5" t="s">
        <v>51</v>
      </c>
      <c r="F62" s="7" t="n">
        <v>12225.91</v>
      </c>
      <c r="G62" s="5" t="s">
        <v>78</v>
      </c>
      <c r="H62" s="5" t="s">
        <v>79</v>
      </c>
      <c r="I62" s="5" t="s">
        <v>88</v>
      </c>
      <c r="J62" s="5"/>
      <c r="K62" s="5" t="str">
        <f aca="false">IF(D62="","",IF(COUNTIF($D$2:$D$321,D62)&gt;1,"DUPLICATE","OK"))</f>
        <v>OK</v>
      </c>
      <c r="L62" s="5"/>
      <c r="M62" s="5"/>
    </row>
    <row r="63" customFormat="false" ht="15" hidden="false" customHeight="false" outlineLevel="0" collapsed="false">
      <c r="A63" s="8" t="s">
        <v>207</v>
      </c>
      <c r="B63" s="9" t="n">
        <v>45837</v>
      </c>
      <c r="C63" s="8" t="s">
        <v>104</v>
      </c>
      <c r="D63" s="8" t="s">
        <v>208</v>
      </c>
      <c r="E63" s="8" t="s">
        <v>106</v>
      </c>
      <c r="F63" s="10" t="n">
        <v>11883.55</v>
      </c>
      <c r="G63" s="8" t="s">
        <v>78</v>
      </c>
      <c r="H63" s="8" t="s">
        <v>39</v>
      </c>
      <c r="I63" s="8" t="s">
        <v>52</v>
      </c>
      <c r="J63" s="8"/>
      <c r="K63" s="8" t="str">
        <f aca="false">IF(D63="","",IF(COUNTIF($D$2:$D$321,D63)&gt;1,"DUPLICATE","OK"))</f>
        <v>OK</v>
      </c>
      <c r="L63" s="8"/>
      <c r="M63" s="8"/>
    </row>
    <row r="64" customFormat="false" ht="15" hidden="false" customHeight="false" outlineLevel="0" collapsed="false">
      <c r="A64" s="5" t="s">
        <v>209</v>
      </c>
      <c r="B64" s="6" t="n">
        <v>45717</v>
      </c>
      <c r="C64" s="5" t="s">
        <v>59</v>
      </c>
      <c r="D64" s="5" t="s">
        <v>210</v>
      </c>
      <c r="E64" s="5" t="s">
        <v>61</v>
      </c>
      <c r="F64" s="7" t="n">
        <v>16230.74</v>
      </c>
      <c r="G64" s="5" t="s">
        <v>62</v>
      </c>
      <c r="H64" s="5" t="s">
        <v>46</v>
      </c>
      <c r="I64" s="5" t="s">
        <v>52</v>
      </c>
      <c r="J64" s="5"/>
      <c r="K64" s="5" t="str">
        <f aca="false">IF(D64="","",IF(COUNTIF($D$2:$D$321,D64)&gt;1,"DUPLICATE","OK"))</f>
        <v>OK</v>
      </c>
      <c r="L64" s="5"/>
      <c r="M64" s="5"/>
    </row>
    <row r="65" customFormat="false" ht="15" hidden="false" customHeight="false" outlineLevel="0" collapsed="false">
      <c r="A65" s="8" t="s">
        <v>211</v>
      </c>
      <c r="B65" s="9" t="n">
        <v>45713</v>
      </c>
      <c r="C65" s="8" t="s">
        <v>128</v>
      </c>
      <c r="D65" s="8" t="s">
        <v>212</v>
      </c>
      <c r="E65" s="8" t="s">
        <v>130</v>
      </c>
      <c r="F65" s="10" t="n">
        <v>11054.72</v>
      </c>
      <c r="G65" s="8" t="s">
        <v>62</v>
      </c>
      <c r="H65" s="8" t="s">
        <v>39</v>
      </c>
      <c r="I65" s="8" t="s">
        <v>88</v>
      </c>
      <c r="J65" s="8"/>
      <c r="K65" s="8" t="str">
        <f aca="false">IF(D65="","",IF(COUNTIF($D$2:$D$321,D65)&gt;1,"DUPLICATE","OK"))</f>
        <v>OK</v>
      </c>
      <c r="L65" s="8"/>
      <c r="M65" s="8"/>
    </row>
    <row r="66" customFormat="false" ht="15" hidden="false" customHeight="false" outlineLevel="0" collapsed="false">
      <c r="A66" s="5" t="s">
        <v>213</v>
      </c>
      <c r="B66" s="6" t="n">
        <v>45919</v>
      </c>
      <c r="C66" s="5" t="s">
        <v>54</v>
      </c>
      <c r="D66" s="5" t="s">
        <v>214</v>
      </c>
      <c r="E66" s="5" t="s">
        <v>56</v>
      </c>
      <c r="F66" s="7" t="n">
        <v>2179.24</v>
      </c>
      <c r="G66" s="5" t="s">
        <v>38</v>
      </c>
      <c r="H66" s="5" t="s">
        <v>79</v>
      </c>
      <c r="I66" s="5" t="s">
        <v>40</v>
      </c>
      <c r="J66" s="5"/>
      <c r="K66" s="5" t="str">
        <f aca="false">IF(D66="","",IF(COUNTIF($D$2:$D$321,D66)&gt;1,"DUPLICATE","OK"))</f>
        <v>OK</v>
      </c>
      <c r="L66" s="5"/>
      <c r="M66" s="5"/>
    </row>
    <row r="67" customFormat="false" ht="15" hidden="false" customHeight="false" outlineLevel="0" collapsed="false">
      <c r="A67" s="8" t="s">
        <v>215</v>
      </c>
      <c r="B67" s="9" t="n">
        <v>45924</v>
      </c>
      <c r="C67" s="8" t="s">
        <v>54</v>
      </c>
      <c r="D67" s="8" t="s">
        <v>216</v>
      </c>
      <c r="E67" s="8" t="s">
        <v>56</v>
      </c>
      <c r="F67" s="10" t="n">
        <v>17126.49</v>
      </c>
      <c r="G67" s="8" t="s">
        <v>38</v>
      </c>
      <c r="H67" s="8" t="s">
        <v>79</v>
      </c>
      <c r="I67" s="8" t="s">
        <v>57</v>
      </c>
      <c r="J67" s="8"/>
      <c r="K67" s="8" t="str">
        <f aca="false">IF(D67="","",IF(COUNTIF($D$2:$D$321,D67)&gt;1,"DUPLICATE","OK"))</f>
        <v>OK</v>
      </c>
      <c r="L67" s="8"/>
      <c r="M67" s="8"/>
    </row>
    <row r="68" customFormat="false" ht="15" hidden="false" customHeight="false" outlineLevel="0" collapsed="false">
      <c r="A68" s="5" t="s">
        <v>217</v>
      </c>
      <c r="B68" s="6" t="n">
        <v>45827</v>
      </c>
      <c r="C68" s="5" t="s">
        <v>104</v>
      </c>
      <c r="D68" s="5" t="s">
        <v>218</v>
      </c>
      <c r="E68" s="5" t="s">
        <v>106</v>
      </c>
      <c r="F68" s="7" t="n">
        <v>11545.33</v>
      </c>
      <c r="G68" s="5" t="s">
        <v>45</v>
      </c>
      <c r="H68" s="5" t="s">
        <v>39</v>
      </c>
      <c r="I68" s="5" t="s">
        <v>88</v>
      </c>
      <c r="J68" s="5"/>
      <c r="K68" s="5" t="str">
        <f aca="false">IF(D68="","",IF(COUNTIF($D$2:$D$321,D68)&gt;1,"DUPLICATE","OK"))</f>
        <v>OK</v>
      </c>
      <c r="L68" s="5"/>
      <c r="M68" s="5"/>
    </row>
    <row r="69" customFormat="false" ht="15" hidden="false" customHeight="false" outlineLevel="0" collapsed="false">
      <c r="A69" s="8" t="s">
        <v>219</v>
      </c>
      <c r="B69" s="9" t="n">
        <v>45999</v>
      </c>
      <c r="C69" s="8" t="s">
        <v>114</v>
      </c>
      <c r="D69" s="8" t="s">
        <v>220</v>
      </c>
      <c r="E69" s="8" t="s">
        <v>116</v>
      </c>
      <c r="F69" s="10" t="n">
        <v>7581.89</v>
      </c>
      <c r="G69" s="8" t="s">
        <v>78</v>
      </c>
      <c r="H69" s="8" t="s">
        <v>39</v>
      </c>
      <c r="I69" s="8" t="s">
        <v>88</v>
      </c>
      <c r="J69" s="8"/>
      <c r="K69" s="8" t="str">
        <f aca="false">IF(D69="","",IF(COUNTIF($D$2:$D$321,D69)&gt;1,"DUPLICATE","OK"))</f>
        <v>OK</v>
      </c>
      <c r="L69" s="8"/>
      <c r="M69" s="8"/>
    </row>
    <row r="70" customFormat="false" ht="15" hidden="false" customHeight="false" outlineLevel="0" collapsed="false">
      <c r="A70" s="5" t="s">
        <v>221</v>
      </c>
      <c r="B70" s="6" t="n">
        <v>45756</v>
      </c>
      <c r="C70" s="5" t="s">
        <v>42</v>
      </c>
      <c r="D70" s="5" t="s">
        <v>222</v>
      </c>
      <c r="E70" s="5" t="s">
        <v>44</v>
      </c>
      <c r="F70" s="7" t="n">
        <v>7804.34</v>
      </c>
      <c r="G70" s="5" t="s">
        <v>78</v>
      </c>
      <c r="H70" s="5" t="s">
        <v>39</v>
      </c>
      <c r="I70" s="5" t="s">
        <v>47</v>
      </c>
      <c r="J70" s="5"/>
      <c r="K70" s="5" t="str">
        <f aca="false">IF(D70="","",IF(COUNTIF($D$2:$D$321,D70)&gt;1,"DUPLICATE","OK"))</f>
        <v>DUPLICATE</v>
      </c>
      <c r="L70" s="5"/>
      <c r="M70" s="5"/>
    </row>
    <row r="71" customFormat="false" ht="15" hidden="false" customHeight="false" outlineLevel="0" collapsed="false">
      <c r="A71" s="8" t="s">
        <v>223</v>
      </c>
      <c r="B71" s="9" t="n">
        <v>45812</v>
      </c>
      <c r="C71" s="8" t="s">
        <v>83</v>
      </c>
      <c r="D71" s="8" t="s">
        <v>224</v>
      </c>
      <c r="E71" s="8" t="s">
        <v>85</v>
      </c>
      <c r="F71" s="10" t="n">
        <v>7539.12</v>
      </c>
      <c r="G71" s="8" t="s">
        <v>45</v>
      </c>
      <c r="H71" s="8" t="s">
        <v>79</v>
      </c>
      <c r="I71" s="8" t="s">
        <v>88</v>
      </c>
      <c r="J71" s="8"/>
      <c r="K71" s="8" t="str">
        <f aca="false">IF(D71="","",IF(COUNTIF($D$2:$D$321,D71)&gt;1,"DUPLICATE","OK"))</f>
        <v>OK</v>
      </c>
      <c r="L71" s="8"/>
      <c r="M71" s="8"/>
    </row>
    <row r="72" customFormat="false" ht="15" hidden="false" customHeight="false" outlineLevel="0" collapsed="false">
      <c r="A72" s="5" t="s">
        <v>225</v>
      </c>
      <c r="B72" s="6" t="n">
        <v>45954</v>
      </c>
      <c r="C72" s="5" t="s">
        <v>94</v>
      </c>
      <c r="D72" s="5" t="s">
        <v>226</v>
      </c>
      <c r="E72" s="5" t="s">
        <v>96</v>
      </c>
      <c r="F72" s="7" t="n">
        <v>11240.94</v>
      </c>
      <c r="G72" s="5" t="s">
        <v>62</v>
      </c>
      <c r="H72" s="5" t="s">
        <v>79</v>
      </c>
      <c r="I72" s="5" t="s">
        <v>57</v>
      </c>
      <c r="J72" s="5"/>
      <c r="K72" s="5" t="str">
        <f aca="false">IF(D72="","",IF(COUNTIF($D$2:$D$321,D72)&gt;1,"DUPLICATE","OK"))</f>
        <v>OK</v>
      </c>
      <c r="L72" s="5"/>
      <c r="M72" s="5"/>
    </row>
    <row r="73" customFormat="false" ht="15" hidden="false" customHeight="false" outlineLevel="0" collapsed="false">
      <c r="A73" s="8" t="s">
        <v>227</v>
      </c>
      <c r="B73" s="9" t="n">
        <v>45767</v>
      </c>
      <c r="C73" s="8" t="s">
        <v>228</v>
      </c>
      <c r="D73" s="8" t="s">
        <v>229</v>
      </c>
      <c r="E73" s="8" t="s">
        <v>230</v>
      </c>
      <c r="F73" s="10" t="n">
        <v>9478.72</v>
      </c>
      <c r="G73" s="8" t="s">
        <v>38</v>
      </c>
      <c r="H73" s="8" t="s">
        <v>39</v>
      </c>
      <c r="I73" s="8" t="s">
        <v>40</v>
      </c>
      <c r="J73" s="8"/>
      <c r="K73" s="8" t="str">
        <f aca="false">IF(D73="","",IF(COUNTIF($D$2:$D$321,D73)&gt;1,"DUPLICATE","OK"))</f>
        <v>OK</v>
      </c>
      <c r="L73" s="8"/>
      <c r="M73" s="8"/>
    </row>
    <row r="74" customFormat="false" ht="15" hidden="false" customHeight="false" outlineLevel="0" collapsed="false">
      <c r="A74" s="5" t="s">
        <v>231</v>
      </c>
      <c r="B74" s="6" t="n">
        <v>45997</v>
      </c>
      <c r="C74" s="5" t="s">
        <v>75</v>
      </c>
      <c r="D74" s="5" t="s">
        <v>232</v>
      </c>
      <c r="E74" s="5" t="s">
        <v>77</v>
      </c>
      <c r="F74" s="7" t="n">
        <v>11725.92</v>
      </c>
      <c r="G74" s="5" t="s">
        <v>62</v>
      </c>
      <c r="H74" s="5" t="s">
        <v>46</v>
      </c>
      <c r="I74" s="5" t="s">
        <v>47</v>
      </c>
      <c r="J74" s="5"/>
      <c r="K74" s="5" t="str">
        <f aca="false">IF(D74="","",IF(COUNTIF($D$2:$D$321,D74)&gt;1,"DUPLICATE","OK"))</f>
        <v>OK</v>
      </c>
      <c r="L74" s="5"/>
      <c r="M74" s="5"/>
    </row>
    <row r="75" customFormat="false" ht="15" hidden="false" customHeight="false" outlineLevel="0" collapsed="false">
      <c r="A75" s="8" t="s">
        <v>233</v>
      </c>
      <c r="B75" s="9" t="n">
        <v>45759</v>
      </c>
      <c r="C75" s="8" t="s">
        <v>75</v>
      </c>
      <c r="D75" s="8" t="s">
        <v>234</v>
      </c>
      <c r="E75" s="8" t="s">
        <v>77</v>
      </c>
      <c r="F75" s="10" t="n">
        <v>2764.42</v>
      </c>
      <c r="G75" s="8" t="s">
        <v>45</v>
      </c>
      <c r="H75" s="8" t="s">
        <v>46</v>
      </c>
      <c r="I75" s="8" t="s">
        <v>57</v>
      </c>
      <c r="J75" s="8"/>
      <c r="K75" s="8" t="str">
        <f aca="false">IF(D75="","",IF(COUNTIF($D$2:$D$321,D75)&gt;1,"DUPLICATE","OK"))</f>
        <v>OK</v>
      </c>
      <c r="L75" s="8"/>
      <c r="M75" s="8"/>
    </row>
    <row r="76" customFormat="false" ht="15" hidden="false" customHeight="false" outlineLevel="0" collapsed="false">
      <c r="A76" s="5" t="s">
        <v>235</v>
      </c>
      <c r="B76" s="6" t="n">
        <v>45891</v>
      </c>
      <c r="C76" s="5" t="s">
        <v>83</v>
      </c>
      <c r="D76" s="5" t="s">
        <v>236</v>
      </c>
      <c r="E76" s="5" t="s">
        <v>85</v>
      </c>
      <c r="F76" s="7" t="n">
        <v>7693.51</v>
      </c>
      <c r="G76" s="5" t="s">
        <v>38</v>
      </c>
      <c r="H76" s="5" t="s">
        <v>39</v>
      </c>
      <c r="I76" s="5" t="s">
        <v>57</v>
      </c>
      <c r="J76" s="5"/>
      <c r="K76" s="5" t="str">
        <f aca="false">IF(D76="","",IF(COUNTIF($D$2:$D$321,D76)&gt;1,"DUPLICATE","OK"))</f>
        <v>OK</v>
      </c>
      <c r="L76" s="5"/>
      <c r="M76" s="5"/>
    </row>
    <row r="77" customFormat="false" ht="15" hidden="false" customHeight="false" outlineLevel="0" collapsed="false">
      <c r="A77" s="8" t="s">
        <v>237</v>
      </c>
      <c r="B77" s="9" t="n">
        <v>45782</v>
      </c>
      <c r="C77" s="8" t="s">
        <v>164</v>
      </c>
      <c r="D77" s="8" t="s">
        <v>238</v>
      </c>
      <c r="E77" s="8" t="s">
        <v>166</v>
      </c>
      <c r="F77" s="10" t="n">
        <v>2768.43</v>
      </c>
      <c r="G77" s="8" t="s">
        <v>45</v>
      </c>
      <c r="H77" s="8" t="s">
        <v>46</v>
      </c>
      <c r="I77" s="8" t="s">
        <v>57</v>
      </c>
      <c r="J77" s="8"/>
      <c r="K77" s="8" t="str">
        <f aca="false">IF(D77="","",IF(COUNTIF($D$2:$D$321,D77)&gt;1,"DUPLICATE","OK"))</f>
        <v>OK</v>
      </c>
      <c r="L77" s="8"/>
      <c r="M77" s="8"/>
    </row>
    <row r="78" customFormat="false" ht="15" hidden="false" customHeight="false" outlineLevel="0" collapsed="false">
      <c r="A78" s="5" t="s">
        <v>239</v>
      </c>
      <c r="B78" s="6" t="n">
        <v>46014</v>
      </c>
      <c r="C78" s="5" t="s">
        <v>49</v>
      </c>
      <c r="D78" s="5" t="s">
        <v>240</v>
      </c>
      <c r="E78" s="5" t="s">
        <v>51</v>
      </c>
      <c r="F78" s="7" t="n">
        <v>9603.91</v>
      </c>
      <c r="G78" s="5" t="s">
        <v>45</v>
      </c>
      <c r="H78" s="5" t="s">
        <v>39</v>
      </c>
      <c r="I78" s="5" t="s">
        <v>47</v>
      </c>
      <c r="J78" s="5"/>
      <c r="K78" s="5" t="str">
        <f aca="false">IF(D78="","",IF(COUNTIF($D$2:$D$321,D78)&gt;1,"DUPLICATE","OK"))</f>
        <v>OK</v>
      </c>
      <c r="L78" s="5"/>
      <c r="M78" s="5"/>
    </row>
    <row r="79" customFormat="false" ht="15" hidden="false" customHeight="false" outlineLevel="0" collapsed="false">
      <c r="A79" s="8" t="s">
        <v>241</v>
      </c>
      <c r="B79" s="9" t="n">
        <v>45726</v>
      </c>
      <c r="C79" s="8" t="s">
        <v>35</v>
      </c>
      <c r="D79" s="8" t="s">
        <v>222</v>
      </c>
      <c r="E79" s="8" t="s">
        <v>37</v>
      </c>
      <c r="F79" s="10" t="n">
        <v>14835.14</v>
      </c>
      <c r="G79" s="8" t="s">
        <v>62</v>
      </c>
      <c r="H79" s="8" t="s">
        <v>79</v>
      </c>
      <c r="I79" s="8" t="s">
        <v>52</v>
      </c>
      <c r="J79" s="8"/>
      <c r="K79" s="8" t="str">
        <f aca="false">IF(D79="","",IF(COUNTIF($D$2:$D$321,D79)&gt;1,"DUPLICATE","OK"))</f>
        <v>DUPLICATE</v>
      </c>
      <c r="L79" s="8"/>
      <c r="M79" s="8"/>
    </row>
    <row r="80" customFormat="false" ht="15" hidden="false" customHeight="false" outlineLevel="0" collapsed="false">
      <c r="A80" s="5" t="s">
        <v>242</v>
      </c>
      <c r="B80" s="6" t="n">
        <v>45938</v>
      </c>
      <c r="C80" s="5" t="s">
        <v>114</v>
      </c>
      <c r="D80" s="5" t="s">
        <v>243</v>
      </c>
      <c r="E80" s="5" t="s">
        <v>116</v>
      </c>
      <c r="F80" s="7" t="n">
        <v>8274.34</v>
      </c>
      <c r="G80" s="5" t="s">
        <v>38</v>
      </c>
      <c r="H80" s="5" t="s">
        <v>39</v>
      </c>
      <c r="I80" s="5" t="s">
        <v>57</v>
      </c>
      <c r="J80" s="5"/>
      <c r="K80" s="5" t="str">
        <f aca="false">IF(D80="","",IF(COUNTIF($D$2:$D$321,D80)&gt;1,"DUPLICATE","OK"))</f>
        <v>OK</v>
      </c>
      <c r="L80" s="5"/>
      <c r="M80" s="5"/>
    </row>
    <row r="81" customFormat="false" ht="15" hidden="false" customHeight="false" outlineLevel="0" collapsed="false">
      <c r="A81" s="8" t="s">
        <v>244</v>
      </c>
      <c r="B81" s="9" t="n">
        <v>45784</v>
      </c>
      <c r="C81" s="8" t="s">
        <v>228</v>
      </c>
      <c r="D81" s="8" t="s">
        <v>245</v>
      </c>
      <c r="E81" s="8" t="s">
        <v>230</v>
      </c>
      <c r="F81" s="10" t="n">
        <v>15544.67</v>
      </c>
      <c r="G81" s="8" t="s">
        <v>62</v>
      </c>
      <c r="H81" s="8" t="s">
        <v>39</v>
      </c>
      <c r="I81" s="8" t="s">
        <v>57</v>
      </c>
      <c r="J81" s="8"/>
      <c r="K81" s="8" t="str">
        <f aca="false">IF(D81="","",IF(COUNTIF($D$2:$D$321,D81)&gt;1,"DUPLICATE","OK"))</f>
        <v>OK</v>
      </c>
      <c r="L81" s="8"/>
      <c r="M81" s="8"/>
    </row>
    <row r="82" customFormat="false" ht="15" hidden="false" customHeight="false" outlineLevel="0" collapsed="false">
      <c r="A82" s="5" t="s">
        <v>246</v>
      </c>
      <c r="B82" s="6" t="n">
        <v>45883</v>
      </c>
      <c r="C82" s="5" t="s">
        <v>49</v>
      </c>
      <c r="D82" s="5" t="s">
        <v>247</v>
      </c>
      <c r="E82" s="5" t="s">
        <v>51</v>
      </c>
      <c r="F82" s="7" t="n">
        <v>1474.96</v>
      </c>
      <c r="G82" s="5" t="s">
        <v>62</v>
      </c>
      <c r="H82" s="5" t="s">
        <v>46</v>
      </c>
      <c r="I82" s="5" t="s">
        <v>88</v>
      </c>
      <c r="J82" s="5"/>
      <c r="K82" s="5" t="str">
        <f aca="false">IF(D82="","",IF(COUNTIF($D$2:$D$321,D82)&gt;1,"DUPLICATE","OK"))</f>
        <v>OK</v>
      </c>
      <c r="L82" s="5"/>
      <c r="M82" s="5"/>
    </row>
    <row r="83" customFormat="false" ht="15" hidden="false" customHeight="false" outlineLevel="0" collapsed="false">
      <c r="A83" s="8" t="s">
        <v>248</v>
      </c>
      <c r="B83" s="9" t="n">
        <v>45934</v>
      </c>
      <c r="C83" s="8" t="s">
        <v>59</v>
      </c>
      <c r="D83" s="8" t="s">
        <v>249</v>
      </c>
      <c r="E83" s="8" t="s">
        <v>61</v>
      </c>
      <c r="F83" s="10" t="n">
        <v>1532.06</v>
      </c>
      <c r="G83" s="8" t="s">
        <v>38</v>
      </c>
      <c r="H83" s="8" t="s">
        <v>46</v>
      </c>
      <c r="I83" s="8" t="s">
        <v>57</v>
      </c>
      <c r="J83" s="8"/>
      <c r="K83" s="8" t="str">
        <f aca="false">IF(D83="","",IF(COUNTIF($D$2:$D$321,D83)&gt;1,"DUPLICATE","OK"))</f>
        <v>OK</v>
      </c>
      <c r="L83" s="8"/>
      <c r="M83" s="8"/>
    </row>
    <row r="84" customFormat="false" ht="15" hidden="false" customHeight="false" outlineLevel="0" collapsed="false">
      <c r="A84" s="5" t="s">
        <v>250</v>
      </c>
      <c r="B84" s="6" t="n">
        <v>45690</v>
      </c>
      <c r="C84" s="5" t="s">
        <v>98</v>
      </c>
      <c r="D84" s="5" t="s">
        <v>251</v>
      </c>
      <c r="E84" s="5" t="s">
        <v>100</v>
      </c>
      <c r="F84" s="7" t="n">
        <v>7701.39</v>
      </c>
      <c r="G84" s="5" t="s">
        <v>62</v>
      </c>
      <c r="H84" s="5" t="s">
        <v>39</v>
      </c>
      <c r="I84" s="5" t="s">
        <v>57</v>
      </c>
      <c r="J84" s="5"/>
      <c r="K84" s="5" t="str">
        <f aca="false">IF(D84="","",IF(COUNTIF($D$2:$D$321,D84)&gt;1,"DUPLICATE","OK"))</f>
        <v>OK</v>
      </c>
      <c r="L84" s="5"/>
      <c r="M84" s="5"/>
    </row>
    <row r="85" customFormat="false" ht="15" hidden="false" customHeight="false" outlineLevel="0" collapsed="false">
      <c r="A85" s="8" t="s">
        <v>252</v>
      </c>
      <c r="B85" s="9" t="n">
        <v>45763</v>
      </c>
      <c r="C85" s="8" t="s">
        <v>54</v>
      </c>
      <c r="D85" s="8" t="s">
        <v>253</v>
      </c>
      <c r="E85" s="8" t="s">
        <v>56</v>
      </c>
      <c r="F85" s="10" t="n">
        <v>15416.01</v>
      </c>
      <c r="G85" s="8"/>
      <c r="H85" s="8" t="s">
        <v>39</v>
      </c>
      <c r="I85" s="8" t="s">
        <v>40</v>
      </c>
      <c r="J85" s="8"/>
      <c r="K85" s="8" t="str">
        <f aca="false">IF(D85="","",IF(COUNTIF($D$2:$D$321,D85)&gt;1,"DUPLICATE","OK"))</f>
        <v>OK</v>
      </c>
      <c r="L85" s="8"/>
      <c r="M85" s="8"/>
    </row>
    <row r="86" customFormat="false" ht="15" hidden="false" customHeight="false" outlineLevel="0" collapsed="false">
      <c r="A86" s="5" t="s">
        <v>254</v>
      </c>
      <c r="B86" s="6" t="n">
        <v>45902</v>
      </c>
      <c r="C86" s="5" t="s">
        <v>160</v>
      </c>
      <c r="D86" s="5" t="s">
        <v>255</v>
      </c>
      <c r="E86" s="5" t="s">
        <v>162</v>
      </c>
      <c r="F86" s="7" t="n">
        <v>153.81</v>
      </c>
      <c r="G86" s="5" t="s">
        <v>62</v>
      </c>
      <c r="H86" s="5" t="s">
        <v>79</v>
      </c>
      <c r="I86" s="5" t="s">
        <v>57</v>
      </c>
      <c r="J86" s="5"/>
      <c r="K86" s="5" t="str">
        <f aca="false">IF(D86="","",IF(COUNTIF($D$2:$D$321,D86)&gt;1,"DUPLICATE","OK"))</f>
        <v>OK</v>
      </c>
      <c r="L86" s="5"/>
      <c r="M86" s="5"/>
    </row>
    <row r="87" customFormat="false" ht="15" hidden="false" customHeight="false" outlineLevel="0" collapsed="false">
      <c r="A87" s="8" t="s">
        <v>256</v>
      </c>
      <c r="B87" s="9" t="n">
        <v>45937</v>
      </c>
      <c r="C87" s="8" t="s">
        <v>54</v>
      </c>
      <c r="D87" s="8" t="s">
        <v>257</v>
      </c>
      <c r="E87" s="8" t="s">
        <v>56</v>
      </c>
      <c r="F87" s="10" t="n">
        <v>14806.57</v>
      </c>
      <c r="G87" s="8" t="s">
        <v>38</v>
      </c>
      <c r="H87" s="8" t="s">
        <v>79</v>
      </c>
      <c r="I87" s="8" t="s">
        <v>47</v>
      </c>
      <c r="J87" s="8"/>
      <c r="K87" s="8" t="str">
        <f aca="false">IF(D87="","",IF(COUNTIF($D$2:$D$321,D87)&gt;1,"DUPLICATE","OK"))</f>
        <v>OK</v>
      </c>
      <c r="L87" s="8"/>
      <c r="M87" s="8"/>
    </row>
    <row r="88" customFormat="false" ht="15" hidden="false" customHeight="false" outlineLevel="0" collapsed="false">
      <c r="A88" s="5" t="s">
        <v>258</v>
      </c>
      <c r="B88" s="6" t="n">
        <v>45906</v>
      </c>
      <c r="C88" s="5" t="s">
        <v>128</v>
      </c>
      <c r="D88" s="5" t="s">
        <v>259</v>
      </c>
      <c r="E88" s="5" t="s">
        <v>130</v>
      </c>
      <c r="F88" s="7" t="n">
        <v>580.65</v>
      </c>
      <c r="G88" s="5" t="s">
        <v>62</v>
      </c>
      <c r="H88" s="5" t="s">
        <v>39</v>
      </c>
      <c r="I88" s="5" t="s">
        <v>57</v>
      </c>
      <c r="J88" s="5"/>
      <c r="K88" s="5" t="str">
        <f aca="false">IF(D88="","",IF(COUNTIF($D$2:$D$321,D88)&gt;1,"DUPLICATE","OK"))</f>
        <v>OK</v>
      </c>
      <c r="L88" s="5"/>
      <c r="M88" s="5"/>
    </row>
    <row r="89" customFormat="false" ht="15" hidden="false" customHeight="false" outlineLevel="0" collapsed="false">
      <c r="A89" s="8" t="s">
        <v>260</v>
      </c>
      <c r="B89" s="9" t="n">
        <v>45723</v>
      </c>
      <c r="C89" s="8" t="s">
        <v>148</v>
      </c>
      <c r="D89" s="8" t="s">
        <v>261</v>
      </c>
      <c r="E89" s="8" t="s">
        <v>150</v>
      </c>
      <c r="F89" s="10" t="n">
        <v>18144.22</v>
      </c>
      <c r="G89" s="8" t="s">
        <v>45</v>
      </c>
      <c r="H89" s="8" t="s">
        <v>79</v>
      </c>
      <c r="I89" s="8" t="s">
        <v>52</v>
      </c>
      <c r="J89" s="8"/>
      <c r="K89" s="8" t="str">
        <f aca="false">IF(D89="","",IF(COUNTIF($D$2:$D$321,D89)&gt;1,"DUPLICATE","OK"))</f>
        <v>OK</v>
      </c>
      <c r="L89" s="8"/>
      <c r="M89" s="8"/>
    </row>
    <row r="90" customFormat="false" ht="15" hidden="false" customHeight="false" outlineLevel="0" collapsed="false">
      <c r="A90" s="5" t="s">
        <v>262</v>
      </c>
      <c r="B90" s="6" t="n">
        <v>45671</v>
      </c>
      <c r="C90" s="5" t="s">
        <v>160</v>
      </c>
      <c r="D90" s="5" t="s">
        <v>263</v>
      </c>
      <c r="E90" s="5" t="s">
        <v>162</v>
      </c>
      <c r="F90" s="7" t="n">
        <v>1594.25</v>
      </c>
      <c r="G90" s="5" t="s">
        <v>78</v>
      </c>
      <c r="H90" s="5" t="s">
        <v>46</v>
      </c>
      <c r="I90" s="5" t="s">
        <v>57</v>
      </c>
      <c r="J90" s="5"/>
      <c r="K90" s="5" t="str">
        <f aca="false">IF(D90="","",IF(COUNTIF($D$2:$D$321,D90)&gt;1,"DUPLICATE","OK"))</f>
        <v>OK</v>
      </c>
      <c r="L90" s="5"/>
      <c r="M90" s="5"/>
    </row>
    <row r="91" customFormat="false" ht="15" hidden="false" customHeight="false" outlineLevel="0" collapsed="false">
      <c r="A91" s="8" t="s">
        <v>264</v>
      </c>
      <c r="B91" s="9" t="n">
        <v>45791</v>
      </c>
      <c r="C91" s="8"/>
      <c r="D91" s="8" t="s">
        <v>265</v>
      </c>
      <c r="E91" s="8" t="s">
        <v>150</v>
      </c>
      <c r="F91" s="10" t="n">
        <v>7041.36</v>
      </c>
      <c r="G91" s="8" t="s">
        <v>38</v>
      </c>
      <c r="H91" s="8" t="s">
        <v>79</v>
      </c>
      <c r="I91" s="8" t="s">
        <v>88</v>
      </c>
      <c r="J91" s="8"/>
      <c r="K91" s="8" t="str">
        <f aca="false">IF(D91="","",IF(COUNTIF($D$2:$D$321,D91)&gt;1,"DUPLICATE","OK"))</f>
        <v>OK</v>
      </c>
      <c r="L91" s="8"/>
      <c r="M91" s="8"/>
    </row>
    <row r="92" customFormat="false" ht="15" hidden="false" customHeight="false" outlineLevel="0" collapsed="false">
      <c r="A92" s="5" t="s">
        <v>266</v>
      </c>
      <c r="B92" s="6" t="n">
        <v>45800</v>
      </c>
      <c r="C92" s="5" t="s">
        <v>59</v>
      </c>
      <c r="D92" s="5" t="s">
        <v>267</v>
      </c>
      <c r="E92" s="5" t="s">
        <v>61</v>
      </c>
      <c r="F92" s="7" t="n">
        <v>13923.34</v>
      </c>
      <c r="G92" s="5" t="s">
        <v>78</v>
      </c>
      <c r="H92" s="5" t="s">
        <v>79</v>
      </c>
      <c r="I92" s="5"/>
      <c r="J92" s="5"/>
      <c r="K92" s="5" t="str">
        <f aca="false">IF(D92="","",IF(COUNTIF($D$2:$D$321,D92)&gt;1,"DUPLICATE","OK"))</f>
        <v>OK</v>
      </c>
      <c r="L92" s="5"/>
      <c r="M92" s="5"/>
    </row>
    <row r="93" customFormat="false" ht="15" hidden="false" customHeight="false" outlineLevel="0" collapsed="false">
      <c r="A93" s="8" t="s">
        <v>268</v>
      </c>
      <c r="B93" s="9" t="n">
        <v>45934</v>
      </c>
      <c r="C93" s="8" t="s">
        <v>164</v>
      </c>
      <c r="D93" s="8" t="s">
        <v>269</v>
      </c>
      <c r="E93" s="8" t="s">
        <v>166</v>
      </c>
      <c r="F93" s="10" t="n">
        <v>1006.24</v>
      </c>
      <c r="G93" s="8" t="s">
        <v>62</v>
      </c>
      <c r="H93" s="8" t="s">
        <v>46</v>
      </c>
      <c r="I93" s="8" t="s">
        <v>40</v>
      </c>
      <c r="J93" s="8"/>
      <c r="K93" s="8" t="str">
        <f aca="false">IF(D93="","",IF(COUNTIF($D$2:$D$321,D93)&gt;1,"DUPLICATE","OK"))</f>
        <v>OK</v>
      </c>
      <c r="L93" s="8"/>
      <c r="M93" s="8"/>
    </row>
    <row r="94" customFormat="false" ht="15" hidden="false" customHeight="false" outlineLevel="0" collapsed="false">
      <c r="A94" s="5" t="s">
        <v>270</v>
      </c>
      <c r="B94" s="6" t="n">
        <v>45784</v>
      </c>
      <c r="C94" s="5" t="s">
        <v>90</v>
      </c>
      <c r="D94" s="5" t="s">
        <v>271</v>
      </c>
      <c r="E94" s="5" t="s">
        <v>92</v>
      </c>
      <c r="F94" s="7" t="n">
        <v>3724.2</v>
      </c>
      <c r="G94" s="5" t="s">
        <v>45</v>
      </c>
      <c r="H94" s="5" t="s">
        <v>39</v>
      </c>
      <c r="I94" s="5" t="s">
        <v>47</v>
      </c>
      <c r="J94" s="5"/>
      <c r="K94" s="5" t="str">
        <f aca="false">IF(D94="","",IF(COUNTIF($D$2:$D$321,D94)&gt;1,"DUPLICATE","OK"))</f>
        <v>OK</v>
      </c>
      <c r="L94" s="5"/>
      <c r="M94" s="5"/>
    </row>
    <row r="95" customFormat="false" ht="15" hidden="false" customHeight="false" outlineLevel="0" collapsed="false">
      <c r="A95" s="8" t="s">
        <v>272</v>
      </c>
      <c r="B95" s="9" t="n">
        <v>45900</v>
      </c>
      <c r="C95" s="8" t="s">
        <v>49</v>
      </c>
      <c r="D95" s="8" t="s">
        <v>273</v>
      </c>
      <c r="E95" s="8" t="s">
        <v>51</v>
      </c>
      <c r="F95" s="10" t="n">
        <v>12399.86</v>
      </c>
      <c r="G95" s="8" t="s">
        <v>38</v>
      </c>
      <c r="H95" s="8" t="s">
        <v>79</v>
      </c>
      <c r="I95" s="8" t="s">
        <v>88</v>
      </c>
      <c r="J95" s="8"/>
      <c r="K95" s="8" t="str">
        <f aca="false">IF(D95="","",IF(COUNTIF($D$2:$D$321,D95)&gt;1,"DUPLICATE","OK"))</f>
        <v>OK</v>
      </c>
      <c r="L95" s="8"/>
      <c r="M95" s="8"/>
    </row>
    <row r="96" customFormat="false" ht="15" hidden="false" customHeight="false" outlineLevel="0" collapsed="false">
      <c r="A96" s="5" t="s">
        <v>274</v>
      </c>
      <c r="B96" s="6" t="n">
        <v>45968</v>
      </c>
      <c r="C96" s="5" t="s">
        <v>71</v>
      </c>
      <c r="D96" s="5" t="s">
        <v>275</v>
      </c>
      <c r="E96" s="5" t="s">
        <v>73</v>
      </c>
      <c r="F96" s="7" t="n">
        <v>11251.75</v>
      </c>
      <c r="G96" s="5" t="s">
        <v>45</v>
      </c>
      <c r="H96" s="5" t="s">
        <v>46</v>
      </c>
      <c r="I96" s="5" t="s">
        <v>88</v>
      </c>
      <c r="J96" s="5"/>
      <c r="K96" s="5" t="str">
        <f aca="false">IF(D96="","",IF(COUNTIF($D$2:$D$321,D96)&gt;1,"DUPLICATE","OK"))</f>
        <v>OK</v>
      </c>
      <c r="L96" s="5"/>
      <c r="M96" s="5"/>
    </row>
    <row r="97" customFormat="false" ht="15" hidden="false" customHeight="false" outlineLevel="0" collapsed="false">
      <c r="A97" s="8" t="s">
        <v>276</v>
      </c>
      <c r="B97" s="9" t="n">
        <v>45671</v>
      </c>
      <c r="C97" s="8" t="s">
        <v>35</v>
      </c>
      <c r="D97" s="8" t="s">
        <v>277</v>
      </c>
      <c r="E97" s="8" t="s">
        <v>37</v>
      </c>
      <c r="F97" s="10" t="n">
        <v>17187.61</v>
      </c>
      <c r="G97" s="8" t="s">
        <v>78</v>
      </c>
      <c r="H97" s="8" t="s">
        <v>278</v>
      </c>
      <c r="I97" s="8" t="s">
        <v>47</v>
      </c>
      <c r="J97" s="8"/>
      <c r="K97" s="8" t="str">
        <f aca="false">IF(D97="","",IF(COUNTIF($D$2:$D$321,D97)&gt;1,"DUPLICATE","OK"))</f>
        <v>OK</v>
      </c>
      <c r="L97" s="8"/>
      <c r="M97" s="8"/>
    </row>
    <row r="98" customFormat="false" ht="15" hidden="false" customHeight="false" outlineLevel="0" collapsed="false">
      <c r="A98" s="5" t="s">
        <v>279</v>
      </c>
      <c r="B98" s="6" t="n">
        <v>46011</v>
      </c>
      <c r="C98" s="5" t="s">
        <v>104</v>
      </c>
      <c r="D98" s="5" t="s">
        <v>280</v>
      </c>
      <c r="E98" s="5" t="s">
        <v>106</v>
      </c>
      <c r="F98" s="7" t="n">
        <v>15373.2</v>
      </c>
      <c r="G98" s="5" t="s">
        <v>38</v>
      </c>
      <c r="H98" s="5" t="s">
        <v>46</v>
      </c>
      <c r="I98" s="5" t="s">
        <v>88</v>
      </c>
      <c r="J98" s="5"/>
      <c r="K98" s="5" t="str">
        <f aca="false">IF(D98="","",IF(COUNTIF($D$2:$D$321,D98)&gt;1,"DUPLICATE","OK"))</f>
        <v>OK</v>
      </c>
      <c r="L98" s="5"/>
      <c r="M98" s="5"/>
    </row>
    <row r="99" customFormat="false" ht="15" hidden="false" customHeight="false" outlineLevel="0" collapsed="false">
      <c r="A99" s="8" t="s">
        <v>281</v>
      </c>
      <c r="B99" s="9" t="n">
        <v>45947</v>
      </c>
      <c r="C99" s="8" t="s">
        <v>83</v>
      </c>
      <c r="D99" s="8" t="s">
        <v>282</v>
      </c>
      <c r="E99" s="8" t="s">
        <v>85</v>
      </c>
      <c r="F99" s="10" t="n">
        <v>14488.54</v>
      </c>
      <c r="G99" s="8" t="s">
        <v>62</v>
      </c>
      <c r="H99" s="8" t="s">
        <v>39</v>
      </c>
      <c r="I99" s="8" t="s">
        <v>57</v>
      </c>
      <c r="J99" s="8"/>
      <c r="K99" s="8" t="str">
        <f aca="false">IF(D99="","",IF(COUNTIF($D$2:$D$321,D99)&gt;1,"DUPLICATE","OK"))</f>
        <v>OK</v>
      </c>
      <c r="L99" s="8"/>
      <c r="M99" s="8"/>
    </row>
    <row r="100" customFormat="false" ht="15" hidden="false" customHeight="false" outlineLevel="0" collapsed="false">
      <c r="A100" s="5" t="s">
        <v>283</v>
      </c>
      <c r="B100" s="6" t="n">
        <v>46625</v>
      </c>
      <c r="C100" s="5" t="s">
        <v>71</v>
      </c>
      <c r="D100" s="5" t="s">
        <v>284</v>
      </c>
      <c r="E100" s="5" t="s">
        <v>73</v>
      </c>
      <c r="F100" s="7" t="n">
        <v>11995.41</v>
      </c>
      <c r="G100" s="5" t="s">
        <v>45</v>
      </c>
      <c r="H100" s="5" t="s">
        <v>79</v>
      </c>
      <c r="I100" s="5" t="s">
        <v>57</v>
      </c>
      <c r="J100" s="5"/>
      <c r="K100" s="5" t="str">
        <f aca="false">IF(D100="","",IF(COUNTIF($D$2:$D$321,D100)&gt;1,"DUPLICATE","OK"))</f>
        <v>OK</v>
      </c>
      <c r="L100" s="5"/>
      <c r="M100" s="5"/>
    </row>
    <row r="101" customFormat="false" ht="15" hidden="false" customHeight="false" outlineLevel="0" collapsed="false">
      <c r="A101" s="8" t="s">
        <v>285</v>
      </c>
      <c r="B101" s="9" t="n">
        <v>45843</v>
      </c>
      <c r="C101" s="8" t="s">
        <v>35</v>
      </c>
      <c r="D101" s="8" t="s">
        <v>286</v>
      </c>
      <c r="E101" s="8" t="s">
        <v>37</v>
      </c>
      <c r="F101" s="10" t="n">
        <v>11774.72</v>
      </c>
      <c r="G101" s="8" t="s">
        <v>78</v>
      </c>
      <c r="H101" s="8" t="s">
        <v>39</v>
      </c>
      <c r="I101" s="8" t="s">
        <v>47</v>
      </c>
      <c r="J101" s="8"/>
      <c r="K101" s="8" t="str">
        <f aca="false">IF(D101="","",IF(COUNTIF($D$2:$D$321,D101)&gt;1,"DUPLICATE","OK"))</f>
        <v>OK</v>
      </c>
      <c r="L101" s="8"/>
      <c r="M101" s="8"/>
    </row>
    <row r="102" customFormat="false" ht="15" hidden="false" customHeight="false" outlineLevel="0" collapsed="false">
      <c r="A102" s="5" t="s">
        <v>287</v>
      </c>
      <c r="B102" s="6" t="n">
        <v>45925</v>
      </c>
      <c r="C102" s="5" t="s">
        <v>54</v>
      </c>
      <c r="D102" s="5" t="s">
        <v>288</v>
      </c>
      <c r="E102" s="5" t="s">
        <v>56</v>
      </c>
      <c r="F102" s="7" t="n">
        <v>17862.82</v>
      </c>
      <c r="G102" s="5" t="s">
        <v>62</v>
      </c>
      <c r="H102" s="5" t="s">
        <v>39</v>
      </c>
      <c r="I102" s="5" t="s">
        <v>52</v>
      </c>
      <c r="J102" s="5"/>
      <c r="K102" s="5" t="str">
        <f aca="false">IF(D102="","",IF(COUNTIF($D$2:$D$321,D102)&gt;1,"DUPLICATE","OK"))</f>
        <v>OK</v>
      </c>
      <c r="L102" s="5"/>
      <c r="M102" s="5"/>
    </row>
    <row r="103" customFormat="false" ht="15" hidden="false" customHeight="false" outlineLevel="0" collapsed="false">
      <c r="A103" s="8" t="s">
        <v>289</v>
      </c>
      <c r="B103" s="9" t="n">
        <v>45881</v>
      </c>
      <c r="C103" s="8" t="s">
        <v>164</v>
      </c>
      <c r="D103" s="8" t="s">
        <v>290</v>
      </c>
      <c r="E103" s="8" t="s">
        <v>166</v>
      </c>
      <c r="F103" s="10" t="n">
        <v>15283.93</v>
      </c>
      <c r="G103" s="8" t="s">
        <v>62</v>
      </c>
      <c r="H103" s="8" t="s">
        <v>79</v>
      </c>
      <c r="I103" s="8" t="s">
        <v>47</v>
      </c>
      <c r="J103" s="8"/>
      <c r="K103" s="8" t="str">
        <f aca="false">IF(D103="","",IF(COUNTIF($D$2:$D$321,D103)&gt;1,"DUPLICATE","OK"))</f>
        <v>OK</v>
      </c>
      <c r="L103" s="8"/>
      <c r="M103" s="8"/>
    </row>
    <row r="104" customFormat="false" ht="15" hidden="false" customHeight="false" outlineLevel="0" collapsed="false">
      <c r="A104" s="5" t="s">
        <v>291</v>
      </c>
      <c r="B104" s="5"/>
      <c r="C104" s="5" t="s">
        <v>104</v>
      </c>
      <c r="D104" s="5" t="s">
        <v>292</v>
      </c>
      <c r="E104" s="5" t="s">
        <v>106</v>
      </c>
      <c r="F104" s="7" t="n">
        <v>4545.5</v>
      </c>
      <c r="G104" s="5" t="s">
        <v>78</v>
      </c>
      <c r="H104" s="5" t="s">
        <v>39</v>
      </c>
      <c r="I104" s="5" t="s">
        <v>52</v>
      </c>
      <c r="J104" s="5"/>
      <c r="K104" s="5" t="str">
        <f aca="false">IF(D104="","",IF(COUNTIF($D$2:$D$321,D104)&gt;1,"DUPLICATE","OK"))</f>
        <v>OK</v>
      </c>
      <c r="L104" s="5"/>
      <c r="M104" s="5"/>
    </row>
    <row r="105" customFormat="false" ht="15" hidden="false" customHeight="false" outlineLevel="0" collapsed="false">
      <c r="A105" s="8" t="s">
        <v>293</v>
      </c>
      <c r="B105" s="9" t="n">
        <v>45672</v>
      </c>
      <c r="C105" s="8" t="s">
        <v>65</v>
      </c>
      <c r="D105" s="8" t="s">
        <v>294</v>
      </c>
      <c r="E105" s="8" t="s">
        <v>67</v>
      </c>
      <c r="F105" s="10" t="n">
        <v>9167.43</v>
      </c>
      <c r="G105" s="8" t="s">
        <v>62</v>
      </c>
      <c r="H105" s="8" t="s">
        <v>46</v>
      </c>
      <c r="I105" s="8" t="s">
        <v>57</v>
      </c>
      <c r="J105" s="8"/>
      <c r="K105" s="8" t="str">
        <f aca="false">IF(D105="","",IF(COUNTIF($D$2:$D$321,D105)&gt;1,"DUPLICATE","OK"))</f>
        <v>OK</v>
      </c>
      <c r="L105" s="8"/>
      <c r="M105" s="8"/>
    </row>
    <row r="106" customFormat="false" ht="15" hidden="false" customHeight="false" outlineLevel="0" collapsed="false">
      <c r="A106" s="5" t="s">
        <v>295</v>
      </c>
      <c r="B106" s="6" t="n">
        <v>45790</v>
      </c>
      <c r="C106" s="5" t="s">
        <v>94</v>
      </c>
      <c r="D106" s="5" t="s">
        <v>200</v>
      </c>
      <c r="E106" s="5" t="s">
        <v>96</v>
      </c>
      <c r="F106" s="7" t="n">
        <v>6325.95</v>
      </c>
      <c r="G106" s="5" t="s">
        <v>62</v>
      </c>
      <c r="H106" s="5" t="s">
        <v>39</v>
      </c>
      <c r="I106" s="5" t="s">
        <v>40</v>
      </c>
      <c r="J106" s="5"/>
      <c r="K106" s="5" t="str">
        <f aca="false">IF(D106="","",IF(COUNTIF($D$2:$D$321,D106)&gt;1,"DUPLICATE","OK"))</f>
        <v>DUPLICATE</v>
      </c>
      <c r="L106" s="5"/>
      <c r="M106" s="5"/>
    </row>
    <row r="107" customFormat="false" ht="15" hidden="false" customHeight="false" outlineLevel="0" collapsed="false">
      <c r="A107" s="8" t="s">
        <v>296</v>
      </c>
      <c r="B107" s="9" t="n">
        <v>45701</v>
      </c>
      <c r="C107" s="8" t="s">
        <v>114</v>
      </c>
      <c r="D107" s="8" t="s">
        <v>297</v>
      </c>
      <c r="E107" s="8" t="s">
        <v>116</v>
      </c>
      <c r="F107" s="10" t="n">
        <v>4499.23</v>
      </c>
      <c r="G107" s="8" t="s">
        <v>78</v>
      </c>
      <c r="H107" s="8" t="s">
        <v>79</v>
      </c>
      <c r="I107" s="8" t="s">
        <v>52</v>
      </c>
      <c r="J107" s="8"/>
      <c r="K107" s="8" t="str">
        <f aca="false">IF(D107="","",IF(COUNTIF($D$2:$D$321,D107)&gt;1,"DUPLICATE","OK"))</f>
        <v>OK</v>
      </c>
      <c r="L107" s="8"/>
      <c r="M107" s="8"/>
    </row>
    <row r="108" customFormat="false" ht="15" hidden="false" customHeight="false" outlineLevel="0" collapsed="false">
      <c r="A108" s="5" t="s">
        <v>298</v>
      </c>
      <c r="B108" s="6" t="n">
        <v>45988</v>
      </c>
      <c r="C108" s="5" t="s">
        <v>49</v>
      </c>
      <c r="D108" s="5" t="s">
        <v>299</v>
      </c>
      <c r="E108" s="5" t="s">
        <v>51</v>
      </c>
      <c r="F108" s="7" t="n">
        <v>13182.05</v>
      </c>
      <c r="G108" s="5" t="s">
        <v>78</v>
      </c>
      <c r="H108" s="5" t="s">
        <v>46</v>
      </c>
      <c r="I108" s="5" t="s">
        <v>40</v>
      </c>
      <c r="J108" s="5"/>
      <c r="K108" s="5" t="str">
        <f aca="false">IF(D108="","",IF(COUNTIF($D$2:$D$321,D108)&gt;1,"DUPLICATE","OK"))</f>
        <v>OK</v>
      </c>
      <c r="L108" s="5"/>
      <c r="M108" s="5"/>
    </row>
    <row r="109" customFormat="false" ht="15" hidden="false" customHeight="false" outlineLevel="0" collapsed="false">
      <c r="A109" s="8" t="s">
        <v>300</v>
      </c>
      <c r="B109" s="9" t="n">
        <v>45865</v>
      </c>
      <c r="C109" s="8" t="s">
        <v>75</v>
      </c>
      <c r="D109" s="8" t="s">
        <v>301</v>
      </c>
      <c r="E109" s="8" t="s">
        <v>77</v>
      </c>
      <c r="F109" s="10" t="n">
        <v>12811.93</v>
      </c>
      <c r="G109" s="8" t="s">
        <v>62</v>
      </c>
      <c r="H109" s="8" t="s">
        <v>39</v>
      </c>
      <c r="I109" s="8" t="s">
        <v>52</v>
      </c>
      <c r="J109" s="8"/>
      <c r="K109" s="8" t="str">
        <f aca="false">IF(D109="","",IF(COUNTIF($D$2:$D$321,D109)&gt;1,"DUPLICATE","OK"))</f>
        <v>OK</v>
      </c>
      <c r="L109" s="8"/>
      <c r="M109" s="8"/>
    </row>
    <row r="110" customFormat="false" ht="15" hidden="false" customHeight="false" outlineLevel="0" collapsed="false">
      <c r="A110" s="5" t="s">
        <v>302</v>
      </c>
      <c r="B110" s="6" t="n">
        <v>45941</v>
      </c>
      <c r="C110" s="5" t="s">
        <v>71</v>
      </c>
      <c r="D110" s="5" t="s">
        <v>303</v>
      </c>
      <c r="E110" s="5" t="s">
        <v>73</v>
      </c>
      <c r="F110" s="7" t="n">
        <v>9843.16</v>
      </c>
      <c r="G110" s="5" t="s">
        <v>78</v>
      </c>
      <c r="H110" s="5" t="s">
        <v>39</v>
      </c>
      <c r="I110" s="5" t="s">
        <v>52</v>
      </c>
      <c r="J110" s="5"/>
      <c r="K110" s="5" t="str">
        <f aca="false">IF(D110="","",IF(COUNTIF($D$2:$D$321,D110)&gt;1,"DUPLICATE","OK"))</f>
        <v>OK</v>
      </c>
      <c r="L110" s="5"/>
      <c r="M110" s="5"/>
    </row>
    <row r="111" customFormat="false" ht="15" hidden="false" customHeight="false" outlineLevel="0" collapsed="false">
      <c r="A111" s="8" t="s">
        <v>304</v>
      </c>
      <c r="B111" s="9" t="n">
        <v>46017</v>
      </c>
      <c r="C111" s="8" t="s">
        <v>59</v>
      </c>
      <c r="D111" s="8" t="s">
        <v>305</v>
      </c>
      <c r="E111" s="8" t="s">
        <v>61</v>
      </c>
      <c r="F111" s="10" t="n">
        <v>8418.87</v>
      </c>
      <c r="G111" s="8" t="s">
        <v>62</v>
      </c>
      <c r="H111" s="8" t="s">
        <v>79</v>
      </c>
      <c r="I111" s="8" t="s">
        <v>47</v>
      </c>
      <c r="J111" s="8"/>
      <c r="K111" s="8" t="str">
        <f aca="false">IF(D111="","",IF(COUNTIF($D$2:$D$321,D111)&gt;1,"DUPLICATE","OK"))</f>
        <v>OK</v>
      </c>
      <c r="L111" s="8"/>
      <c r="M111" s="8"/>
    </row>
    <row r="112" customFormat="false" ht="15" hidden="false" customHeight="false" outlineLevel="0" collapsed="false">
      <c r="A112" s="5" t="s">
        <v>306</v>
      </c>
      <c r="B112" s="6" t="n">
        <v>45819</v>
      </c>
      <c r="C112" s="5" t="s">
        <v>35</v>
      </c>
      <c r="D112" s="5" t="s">
        <v>307</v>
      </c>
      <c r="E112" s="5" t="s">
        <v>37</v>
      </c>
      <c r="F112" s="7" t="n">
        <v>2251.38</v>
      </c>
      <c r="G112" s="5" t="s">
        <v>38</v>
      </c>
      <c r="H112" s="5" t="s">
        <v>46</v>
      </c>
      <c r="I112" s="5" t="s">
        <v>47</v>
      </c>
      <c r="J112" s="5"/>
      <c r="K112" s="5" t="str">
        <f aca="false">IF(D112="","",IF(COUNTIF($D$2:$D$321,D112)&gt;1,"DUPLICATE","OK"))</f>
        <v>OK</v>
      </c>
      <c r="L112" s="5"/>
      <c r="M112" s="5"/>
    </row>
    <row r="113" customFormat="false" ht="15" hidden="false" customHeight="false" outlineLevel="0" collapsed="false">
      <c r="A113" s="8" t="s">
        <v>308</v>
      </c>
      <c r="B113" s="9" t="n">
        <v>45959</v>
      </c>
      <c r="C113" s="8" t="s">
        <v>164</v>
      </c>
      <c r="D113" s="8" t="s">
        <v>309</v>
      </c>
      <c r="E113" s="8" t="s">
        <v>166</v>
      </c>
      <c r="F113" s="10" t="n">
        <v>18068.28</v>
      </c>
      <c r="G113" s="8" t="s">
        <v>62</v>
      </c>
      <c r="H113" s="8" t="s">
        <v>46</v>
      </c>
      <c r="I113" s="8" t="s">
        <v>47</v>
      </c>
      <c r="J113" s="8"/>
      <c r="K113" s="8" t="str">
        <f aca="false">IF(D113="","",IF(COUNTIF($D$2:$D$321,D113)&gt;1,"DUPLICATE","OK"))</f>
        <v>OK</v>
      </c>
      <c r="L113" s="8"/>
      <c r="M113" s="8"/>
    </row>
    <row r="114" customFormat="false" ht="15" hidden="false" customHeight="false" outlineLevel="0" collapsed="false">
      <c r="A114" s="5" t="s">
        <v>310</v>
      </c>
      <c r="B114" s="6" t="n">
        <v>45842</v>
      </c>
      <c r="C114" s="5" t="s">
        <v>75</v>
      </c>
      <c r="D114" s="5" t="s">
        <v>311</v>
      </c>
      <c r="E114" s="5" t="s">
        <v>77</v>
      </c>
      <c r="F114" s="7" t="n">
        <v>3356.59</v>
      </c>
      <c r="G114" s="5" t="s">
        <v>45</v>
      </c>
      <c r="H114" s="5" t="s">
        <v>39</v>
      </c>
      <c r="I114" s="5" t="s">
        <v>52</v>
      </c>
      <c r="J114" s="5"/>
      <c r="K114" s="5" t="str">
        <f aca="false">IF(D114="","",IF(COUNTIF($D$2:$D$321,D114)&gt;1,"DUPLICATE","OK"))</f>
        <v>OK</v>
      </c>
      <c r="L114" s="5"/>
      <c r="M114" s="5"/>
    </row>
    <row r="115" customFormat="false" ht="15" hidden="false" customHeight="false" outlineLevel="0" collapsed="false">
      <c r="A115" s="8" t="s">
        <v>312</v>
      </c>
      <c r="B115" s="9" t="n">
        <v>45681</v>
      </c>
      <c r="C115" s="8" t="s">
        <v>98</v>
      </c>
      <c r="D115" s="8" t="s">
        <v>313</v>
      </c>
      <c r="E115" s="8" t="s">
        <v>100</v>
      </c>
      <c r="F115" s="10" t="n">
        <v>18025.61</v>
      </c>
      <c r="G115" s="8" t="s">
        <v>62</v>
      </c>
      <c r="H115" s="8" t="s">
        <v>39</v>
      </c>
      <c r="I115" s="8" t="s">
        <v>47</v>
      </c>
      <c r="J115" s="8"/>
      <c r="K115" s="8" t="str">
        <f aca="false">IF(D115="","",IF(COUNTIF($D$2:$D$321,D115)&gt;1,"DUPLICATE","OK"))</f>
        <v>OK</v>
      </c>
      <c r="L115" s="8"/>
      <c r="M115" s="8"/>
    </row>
    <row r="116" customFormat="false" ht="15" hidden="false" customHeight="false" outlineLevel="0" collapsed="false">
      <c r="A116" s="5" t="s">
        <v>314</v>
      </c>
      <c r="B116" s="6" t="n">
        <v>45664</v>
      </c>
      <c r="C116" s="5" t="s">
        <v>164</v>
      </c>
      <c r="D116" s="5" t="s">
        <v>315</v>
      </c>
      <c r="E116" s="5" t="s">
        <v>166</v>
      </c>
      <c r="F116" s="7" t="n">
        <v>10639.36</v>
      </c>
      <c r="G116" s="5" t="s">
        <v>78</v>
      </c>
      <c r="H116" s="5" t="s">
        <v>79</v>
      </c>
      <c r="I116" s="5" t="s">
        <v>57</v>
      </c>
      <c r="J116" s="5"/>
      <c r="K116" s="5" t="str">
        <f aca="false">IF(D116="","",IF(COUNTIF($D$2:$D$321,D116)&gt;1,"DUPLICATE","OK"))</f>
        <v>OK</v>
      </c>
      <c r="L116" s="5"/>
      <c r="M116" s="5"/>
    </row>
    <row r="117" customFormat="false" ht="15" hidden="false" customHeight="false" outlineLevel="0" collapsed="false">
      <c r="A117" s="8" t="s">
        <v>316</v>
      </c>
      <c r="B117" s="9" t="n">
        <v>45684</v>
      </c>
      <c r="C117" s="8" t="s">
        <v>59</v>
      </c>
      <c r="D117" s="8" t="s">
        <v>317</v>
      </c>
      <c r="E117" s="8" t="s">
        <v>61</v>
      </c>
      <c r="F117" s="10" t="n">
        <v>4704.49</v>
      </c>
      <c r="G117" s="8" t="s">
        <v>78</v>
      </c>
      <c r="H117" s="8" t="s">
        <v>46</v>
      </c>
      <c r="I117" s="8" t="s">
        <v>40</v>
      </c>
      <c r="J117" s="8"/>
      <c r="K117" s="8" t="str">
        <f aca="false">IF(D117="","",IF(COUNTIF($D$2:$D$321,D117)&gt;1,"DUPLICATE","OK"))</f>
        <v>OK</v>
      </c>
      <c r="L117" s="8"/>
      <c r="M117" s="8"/>
    </row>
    <row r="118" customFormat="false" ht="15" hidden="false" customHeight="false" outlineLevel="0" collapsed="false">
      <c r="A118" s="5" t="s">
        <v>318</v>
      </c>
      <c r="B118" s="6" t="n">
        <v>45695</v>
      </c>
      <c r="C118" s="5" t="s">
        <v>65</v>
      </c>
      <c r="D118" s="5" t="s">
        <v>319</v>
      </c>
      <c r="E118" s="5" t="s">
        <v>67</v>
      </c>
      <c r="F118" s="7" t="n">
        <v>10693.93</v>
      </c>
      <c r="G118" s="5" t="s">
        <v>45</v>
      </c>
      <c r="H118" s="5" t="s">
        <v>46</v>
      </c>
      <c r="I118" s="5" t="s">
        <v>47</v>
      </c>
      <c r="J118" s="5"/>
      <c r="K118" s="5" t="str">
        <f aca="false">IF(D118="","",IF(COUNTIF($D$2:$D$321,D118)&gt;1,"DUPLICATE","OK"))</f>
        <v>OK</v>
      </c>
      <c r="L118" s="5"/>
      <c r="M118" s="5"/>
    </row>
    <row r="119" customFormat="false" ht="15" hidden="false" customHeight="false" outlineLevel="0" collapsed="false">
      <c r="A119" s="8" t="s">
        <v>320</v>
      </c>
      <c r="B119" s="9" t="n">
        <v>45701</v>
      </c>
      <c r="C119" s="8" t="s">
        <v>160</v>
      </c>
      <c r="D119" s="8" t="s">
        <v>321</v>
      </c>
      <c r="E119" s="8" t="s">
        <v>162</v>
      </c>
      <c r="F119" s="10" t="n">
        <v>18387.76</v>
      </c>
      <c r="G119" s="8" t="s">
        <v>45</v>
      </c>
      <c r="H119" s="8" t="s">
        <v>39</v>
      </c>
      <c r="I119" s="8" t="s">
        <v>57</v>
      </c>
      <c r="J119" s="8"/>
      <c r="K119" s="8" t="str">
        <f aca="false">IF(D119="","",IF(COUNTIF($D$2:$D$321,D119)&gt;1,"DUPLICATE","OK"))</f>
        <v>OK</v>
      </c>
      <c r="L119" s="8"/>
      <c r="M119" s="8"/>
    </row>
    <row r="120" customFormat="false" ht="15" hidden="false" customHeight="false" outlineLevel="0" collapsed="false">
      <c r="A120" s="5" t="s">
        <v>322</v>
      </c>
      <c r="B120" s="6" t="n">
        <v>45974</v>
      </c>
      <c r="C120" s="5"/>
      <c r="D120" s="5" t="s">
        <v>323</v>
      </c>
      <c r="E120" s="5" t="s">
        <v>85</v>
      </c>
      <c r="F120" s="7" t="n">
        <v>4210.06</v>
      </c>
      <c r="G120" s="5" t="s">
        <v>78</v>
      </c>
      <c r="H120" s="5" t="s">
        <v>79</v>
      </c>
      <c r="I120" s="5" t="s">
        <v>57</v>
      </c>
      <c r="J120" s="5"/>
      <c r="K120" s="5" t="str">
        <f aca="false">IF(D120="","",IF(COUNTIF($D$2:$D$321,D120)&gt;1,"DUPLICATE","OK"))</f>
        <v>OK</v>
      </c>
      <c r="L120" s="5"/>
      <c r="M120" s="5"/>
    </row>
    <row r="121" customFormat="false" ht="15" hidden="false" customHeight="false" outlineLevel="0" collapsed="false">
      <c r="A121" s="8" t="s">
        <v>324</v>
      </c>
      <c r="B121" s="9" t="n">
        <v>45877</v>
      </c>
      <c r="C121" s="8" t="s">
        <v>75</v>
      </c>
      <c r="D121" s="8" t="s">
        <v>325</v>
      </c>
      <c r="E121" s="8" t="s">
        <v>77</v>
      </c>
      <c r="F121" s="10" t="n">
        <v>5680.79</v>
      </c>
      <c r="G121" s="8" t="s">
        <v>45</v>
      </c>
      <c r="H121" s="8" t="s">
        <v>39</v>
      </c>
      <c r="I121" s="8" t="s">
        <v>40</v>
      </c>
      <c r="J121" s="8"/>
      <c r="K121" s="8" t="str">
        <f aca="false">IF(D121="","",IF(COUNTIF($D$2:$D$321,D121)&gt;1,"DUPLICATE","OK"))</f>
        <v>OK</v>
      </c>
      <c r="L121" s="8"/>
      <c r="M121" s="8"/>
    </row>
    <row r="122" customFormat="false" ht="15" hidden="false" customHeight="false" outlineLevel="0" collapsed="false">
      <c r="A122" s="5" t="s">
        <v>326</v>
      </c>
      <c r="B122" s="6" t="n">
        <v>45766</v>
      </c>
      <c r="C122" s="5" t="s">
        <v>94</v>
      </c>
      <c r="D122" s="5" t="s">
        <v>327</v>
      </c>
      <c r="E122" s="5" t="s">
        <v>96</v>
      </c>
      <c r="F122" s="7" t="n">
        <v>4929.04</v>
      </c>
      <c r="G122" s="5" t="s">
        <v>45</v>
      </c>
      <c r="H122" s="5" t="s">
        <v>46</v>
      </c>
      <c r="I122" s="5" t="s">
        <v>47</v>
      </c>
      <c r="J122" s="5"/>
      <c r="K122" s="5" t="str">
        <f aca="false">IF(D122="","",IF(COUNTIF($D$2:$D$321,D122)&gt;1,"DUPLICATE","OK"))</f>
        <v>OK</v>
      </c>
      <c r="L122" s="5"/>
      <c r="M122" s="5"/>
    </row>
    <row r="123" customFormat="false" ht="15" hidden="false" customHeight="false" outlineLevel="0" collapsed="false">
      <c r="A123" s="8" t="s">
        <v>328</v>
      </c>
      <c r="B123" s="9" t="n">
        <v>45696</v>
      </c>
      <c r="C123" s="8" t="s">
        <v>148</v>
      </c>
      <c r="D123" s="8" t="s">
        <v>329</v>
      </c>
      <c r="E123" s="8" t="s">
        <v>150</v>
      </c>
      <c r="F123" s="10" t="n">
        <v>2933.81</v>
      </c>
      <c r="G123" s="8" t="s">
        <v>78</v>
      </c>
      <c r="H123" s="8" t="s">
        <v>79</v>
      </c>
      <c r="I123" s="8" t="s">
        <v>52</v>
      </c>
      <c r="J123" s="8"/>
      <c r="K123" s="8" t="str">
        <f aca="false">IF(D123="","",IF(COUNTIF($D$2:$D$321,D123)&gt;1,"DUPLICATE","OK"))</f>
        <v>OK</v>
      </c>
      <c r="L123" s="8"/>
      <c r="M123" s="8"/>
    </row>
    <row r="124" customFormat="false" ht="15" hidden="false" customHeight="false" outlineLevel="0" collapsed="false">
      <c r="A124" s="5" t="s">
        <v>330</v>
      </c>
      <c r="B124" s="6" t="n">
        <v>45674</v>
      </c>
      <c r="C124" s="5" t="s">
        <v>164</v>
      </c>
      <c r="D124" s="5" t="s">
        <v>331</v>
      </c>
      <c r="E124" s="5" t="s">
        <v>166</v>
      </c>
      <c r="F124" s="7" t="n">
        <v>4316.89</v>
      </c>
      <c r="G124" s="5" t="s">
        <v>62</v>
      </c>
      <c r="H124" s="5" t="s">
        <v>39</v>
      </c>
      <c r="I124" s="5" t="s">
        <v>57</v>
      </c>
      <c r="J124" s="5"/>
      <c r="K124" s="5" t="str">
        <f aca="false">IF(D124="","",IF(COUNTIF($D$2:$D$321,D124)&gt;1,"DUPLICATE","OK"))</f>
        <v>OK</v>
      </c>
      <c r="L124" s="5"/>
      <c r="M124" s="5"/>
    </row>
    <row r="125" customFormat="false" ht="15" hidden="false" customHeight="false" outlineLevel="0" collapsed="false">
      <c r="A125" s="8" t="s">
        <v>332</v>
      </c>
      <c r="B125" s="9" t="n">
        <v>45793</v>
      </c>
      <c r="C125" s="8" t="s">
        <v>104</v>
      </c>
      <c r="D125" s="8" t="s">
        <v>333</v>
      </c>
      <c r="E125" s="8" t="s">
        <v>106</v>
      </c>
      <c r="F125" s="10" t="n">
        <v>14584.37</v>
      </c>
      <c r="G125" s="8" t="s">
        <v>38</v>
      </c>
      <c r="H125" s="8" t="s">
        <v>79</v>
      </c>
      <c r="I125" s="8" t="s">
        <v>40</v>
      </c>
      <c r="J125" s="8"/>
      <c r="K125" s="8" t="str">
        <f aca="false">IF(D125="","",IF(COUNTIF($D$2:$D$321,D125)&gt;1,"DUPLICATE","OK"))</f>
        <v>OK</v>
      </c>
      <c r="L125" s="8"/>
      <c r="M125" s="8"/>
    </row>
    <row r="126" customFormat="false" ht="15" hidden="false" customHeight="false" outlineLevel="0" collapsed="false">
      <c r="A126" s="5" t="s">
        <v>334</v>
      </c>
      <c r="B126" s="6" t="n">
        <v>45989</v>
      </c>
      <c r="C126" s="5" t="s">
        <v>42</v>
      </c>
      <c r="D126" s="5" t="s">
        <v>335</v>
      </c>
      <c r="E126" s="5" t="s">
        <v>44</v>
      </c>
      <c r="F126" s="7" t="n">
        <v>2794.6</v>
      </c>
      <c r="G126" s="5" t="s">
        <v>62</v>
      </c>
      <c r="H126" s="5" t="s">
        <v>46</v>
      </c>
      <c r="I126" s="5" t="s">
        <v>40</v>
      </c>
      <c r="J126" s="5"/>
      <c r="K126" s="5" t="str">
        <f aca="false">IF(D126="","",IF(COUNTIF($D$2:$D$321,D126)&gt;1,"DUPLICATE","OK"))</f>
        <v>OK</v>
      </c>
      <c r="L126" s="5"/>
      <c r="M126" s="5"/>
    </row>
    <row r="127" customFormat="false" ht="15" hidden="false" customHeight="false" outlineLevel="0" collapsed="false">
      <c r="A127" s="8" t="s">
        <v>336</v>
      </c>
      <c r="B127" s="9" t="n">
        <v>45815</v>
      </c>
      <c r="C127" s="8" t="s">
        <v>90</v>
      </c>
      <c r="D127" s="8" t="s">
        <v>337</v>
      </c>
      <c r="E127" s="8" t="s">
        <v>92</v>
      </c>
      <c r="F127" s="10" t="n">
        <v>11026.54</v>
      </c>
      <c r="G127" s="8" t="s">
        <v>62</v>
      </c>
      <c r="H127" s="8" t="s">
        <v>79</v>
      </c>
      <c r="I127" s="8" t="s">
        <v>40</v>
      </c>
      <c r="J127" s="8"/>
      <c r="K127" s="8" t="str">
        <f aca="false">IF(D127="","",IF(COUNTIF($D$2:$D$321,D127)&gt;1,"DUPLICATE","OK"))</f>
        <v>OK</v>
      </c>
      <c r="L127" s="8"/>
      <c r="M127" s="8"/>
    </row>
    <row r="128" customFormat="false" ht="15" hidden="false" customHeight="false" outlineLevel="0" collapsed="false">
      <c r="A128" s="5" t="s">
        <v>338</v>
      </c>
      <c r="B128" s="6" t="n">
        <v>46016</v>
      </c>
      <c r="C128" s="5" t="s">
        <v>228</v>
      </c>
      <c r="D128" s="5" t="s">
        <v>339</v>
      </c>
      <c r="E128" s="5" t="s">
        <v>230</v>
      </c>
      <c r="F128" s="7" t="n">
        <v>7473.29</v>
      </c>
      <c r="G128" s="5" t="s">
        <v>62</v>
      </c>
      <c r="H128" s="5" t="s">
        <v>39</v>
      </c>
      <c r="I128" s="5" t="s">
        <v>52</v>
      </c>
      <c r="J128" s="5"/>
      <c r="K128" s="5" t="str">
        <f aca="false">IF(D128="","",IF(COUNTIF($D$2:$D$321,D128)&gt;1,"DUPLICATE","OK"))</f>
        <v>OK</v>
      </c>
      <c r="L128" s="5"/>
      <c r="M128" s="5"/>
    </row>
    <row r="129" customFormat="false" ht="15" hidden="false" customHeight="false" outlineLevel="0" collapsed="false">
      <c r="A129" s="8" t="s">
        <v>340</v>
      </c>
      <c r="B129" s="9" t="n">
        <v>45699</v>
      </c>
      <c r="C129" s="8" t="s">
        <v>164</v>
      </c>
      <c r="D129" s="8" t="s">
        <v>341</v>
      </c>
      <c r="E129" s="8" t="s">
        <v>166</v>
      </c>
      <c r="F129" s="10" t="n">
        <v>11081.77</v>
      </c>
      <c r="G129" s="8" t="s">
        <v>78</v>
      </c>
      <c r="H129" s="8" t="s">
        <v>39</v>
      </c>
      <c r="I129" s="8" t="s">
        <v>88</v>
      </c>
      <c r="J129" s="8"/>
      <c r="K129" s="8" t="str">
        <f aca="false">IF(D129="","",IF(COUNTIF($D$2:$D$321,D129)&gt;1,"DUPLICATE","OK"))</f>
        <v>OK</v>
      </c>
      <c r="L129" s="8"/>
      <c r="M129" s="8"/>
    </row>
    <row r="130" customFormat="false" ht="15" hidden="false" customHeight="false" outlineLevel="0" collapsed="false">
      <c r="A130" s="5" t="s">
        <v>342</v>
      </c>
      <c r="B130" s="6" t="n">
        <v>45671</v>
      </c>
      <c r="C130" s="5" t="s">
        <v>83</v>
      </c>
      <c r="D130" s="5" t="s">
        <v>343</v>
      </c>
      <c r="E130" s="5" t="s">
        <v>85</v>
      </c>
      <c r="F130" s="7" t="n">
        <v>1730.44</v>
      </c>
      <c r="G130" s="5" t="s">
        <v>45</v>
      </c>
      <c r="H130" s="5" t="s">
        <v>39</v>
      </c>
      <c r="I130" s="5" t="s">
        <v>88</v>
      </c>
      <c r="J130" s="5"/>
      <c r="K130" s="5" t="str">
        <f aca="false">IF(D130="","",IF(COUNTIF($D$2:$D$321,D130)&gt;1,"DUPLICATE","OK"))</f>
        <v>OK</v>
      </c>
      <c r="L130" s="5"/>
      <c r="M130" s="5"/>
    </row>
    <row r="131" customFormat="false" ht="15" hidden="false" customHeight="false" outlineLevel="0" collapsed="false">
      <c r="A131" s="8" t="s">
        <v>344</v>
      </c>
      <c r="B131" s="9" t="n">
        <v>45747</v>
      </c>
      <c r="C131" s="8" t="s">
        <v>160</v>
      </c>
      <c r="D131" s="8" t="s">
        <v>345</v>
      </c>
      <c r="E131" s="8" t="s">
        <v>162</v>
      </c>
      <c r="F131" s="10" t="n">
        <v>8728.09</v>
      </c>
      <c r="G131" s="8" t="s">
        <v>78</v>
      </c>
      <c r="H131" s="8" t="s">
        <v>79</v>
      </c>
      <c r="I131" s="8" t="s">
        <v>47</v>
      </c>
      <c r="J131" s="8"/>
      <c r="K131" s="8" t="str">
        <f aca="false">IF(D131="","",IF(COUNTIF($D$2:$D$321,D131)&gt;1,"DUPLICATE","OK"))</f>
        <v>OK</v>
      </c>
      <c r="L131" s="8"/>
      <c r="M131" s="8"/>
    </row>
    <row r="132" customFormat="false" ht="15" hidden="false" customHeight="false" outlineLevel="0" collapsed="false">
      <c r="A132" s="5" t="s">
        <v>346</v>
      </c>
      <c r="B132" s="6" t="n">
        <v>45983</v>
      </c>
      <c r="C132" s="5" t="s">
        <v>160</v>
      </c>
      <c r="D132" s="5" t="s">
        <v>347</v>
      </c>
      <c r="E132" s="5" t="s">
        <v>162</v>
      </c>
      <c r="F132" s="7" t="n">
        <v>15071.89</v>
      </c>
      <c r="G132" s="5" t="s">
        <v>45</v>
      </c>
      <c r="H132" s="5" t="s">
        <v>79</v>
      </c>
      <c r="I132" s="5" t="s">
        <v>88</v>
      </c>
      <c r="J132" s="5"/>
      <c r="K132" s="5" t="str">
        <f aca="false">IF(D132="","",IF(COUNTIF($D$2:$D$321,D132)&gt;1,"DUPLICATE","OK"))</f>
        <v>OK</v>
      </c>
      <c r="L132" s="5"/>
      <c r="M132" s="5"/>
    </row>
    <row r="133" customFormat="false" ht="15" hidden="false" customHeight="false" outlineLevel="0" collapsed="false">
      <c r="A133" s="8" t="s">
        <v>348</v>
      </c>
      <c r="B133" s="9" t="n">
        <v>45822</v>
      </c>
      <c r="C133" s="8" t="s">
        <v>54</v>
      </c>
      <c r="D133" s="8" t="s">
        <v>349</v>
      </c>
      <c r="E133" s="8" t="s">
        <v>56</v>
      </c>
      <c r="F133" s="10" t="n">
        <v>12412.31</v>
      </c>
      <c r="G133" s="8"/>
      <c r="H133" s="8" t="s">
        <v>79</v>
      </c>
      <c r="I133" s="8" t="s">
        <v>57</v>
      </c>
      <c r="J133" s="8"/>
      <c r="K133" s="8" t="str">
        <f aca="false">IF(D133="","",IF(COUNTIF($D$2:$D$321,D133)&gt;1,"DUPLICATE","OK"))</f>
        <v>OK</v>
      </c>
      <c r="L133" s="8"/>
      <c r="M133" s="8"/>
    </row>
    <row r="134" customFormat="false" ht="15" hidden="false" customHeight="false" outlineLevel="0" collapsed="false">
      <c r="A134" s="5" t="s">
        <v>350</v>
      </c>
      <c r="B134" s="6" t="n">
        <v>45997</v>
      </c>
      <c r="C134" s="5" t="s">
        <v>164</v>
      </c>
      <c r="D134" s="5" t="s">
        <v>351</v>
      </c>
      <c r="E134" s="5" t="s">
        <v>166</v>
      </c>
      <c r="F134" s="7" t="n">
        <v>17488.55</v>
      </c>
      <c r="G134" s="5" t="s">
        <v>45</v>
      </c>
      <c r="H134" s="5" t="s">
        <v>79</v>
      </c>
      <c r="I134" s="5" t="s">
        <v>40</v>
      </c>
      <c r="J134" s="5"/>
      <c r="K134" s="5" t="str">
        <f aca="false">IF(D134="","",IF(COUNTIF($D$2:$D$321,D134)&gt;1,"DUPLICATE","OK"))</f>
        <v>OK</v>
      </c>
      <c r="L134" s="5"/>
      <c r="M134" s="5"/>
    </row>
    <row r="135" customFormat="false" ht="15" hidden="false" customHeight="false" outlineLevel="0" collapsed="false">
      <c r="A135" s="8" t="s">
        <v>352</v>
      </c>
      <c r="B135" s="9" t="n">
        <v>45823</v>
      </c>
      <c r="C135" s="8" t="s">
        <v>59</v>
      </c>
      <c r="D135" s="8" t="s">
        <v>353</v>
      </c>
      <c r="E135" s="8" t="s">
        <v>61</v>
      </c>
      <c r="F135" s="10" t="n">
        <v>2184.33</v>
      </c>
      <c r="G135" s="8" t="s">
        <v>78</v>
      </c>
      <c r="H135" s="8" t="s">
        <v>39</v>
      </c>
      <c r="I135" s="8" t="s">
        <v>40</v>
      </c>
      <c r="J135" s="8"/>
      <c r="K135" s="8" t="str">
        <f aca="false">IF(D135="","",IF(COUNTIF($D$2:$D$321,D135)&gt;1,"DUPLICATE","OK"))</f>
        <v>OK</v>
      </c>
      <c r="L135" s="8"/>
      <c r="M135" s="8"/>
    </row>
    <row r="136" customFormat="false" ht="15" hidden="false" customHeight="false" outlineLevel="0" collapsed="false">
      <c r="A136" s="5" t="s">
        <v>354</v>
      </c>
      <c r="B136" s="6" t="n">
        <v>45869</v>
      </c>
      <c r="C136" s="5" t="s">
        <v>42</v>
      </c>
      <c r="D136" s="5" t="s">
        <v>355</v>
      </c>
      <c r="E136" s="5" t="s">
        <v>44</v>
      </c>
      <c r="F136" s="7" t="n">
        <v>1045.34</v>
      </c>
      <c r="G136" s="5" t="s">
        <v>62</v>
      </c>
      <c r="H136" s="5" t="s">
        <v>39</v>
      </c>
      <c r="I136" s="5" t="s">
        <v>57</v>
      </c>
      <c r="J136" s="5"/>
      <c r="K136" s="5" t="str">
        <f aca="false">IF(D136="","",IF(COUNTIF($D$2:$D$321,D136)&gt;1,"DUPLICATE","OK"))</f>
        <v>OK</v>
      </c>
      <c r="L136" s="5"/>
      <c r="M136" s="5"/>
    </row>
    <row r="137" customFormat="false" ht="15" hidden="false" customHeight="false" outlineLevel="0" collapsed="false">
      <c r="A137" s="8" t="s">
        <v>356</v>
      </c>
      <c r="B137" s="9" t="n">
        <v>45762</v>
      </c>
      <c r="C137" s="8" t="s">
        <v>228</v>
      </c>
      <c r="D137" s="8" t="s">
        <v>357</v>
      </c>
      <c r="E137" s="8" t="s">
        <v>230</v>
      </c>
      <c r="F137" s="10" t="n">
        <v>4973.52</v>
      </c>
      <c r="G137" s="8" t="s">
        <v>38</v>
      </c>
      <c r="H137" s="8" t="s">
        <v>79</v>
      </c>
      <c r="I137" s="8" t="s">
        <v>57</v>
      </c>
      <c r="J137" s="8"/>
      <c r="K137" s="8" t="str">
        <f aca="false">IF(D137="","",IF(COUNTIF($D$2:$D$321,D137)&gt;1,"DUPLICATE","OK"))</f>
        <v>OK</v>
      </c>
      <c r="L137" s="8"/>
      <c r="M137" s="8"/>
    </row>
    <row r="138" customFormat="false" ht="15" hidden="false" customHeight="false" outlineLevel="0" collapsed="false">
      <c r="A138" s="5" t="s">
        <v>358</v>
      </c>
      <c r="B138" s="6" t="n">
        <v>45672</v>
      </c>
      <c r="C138" s="5" t="s">
        <v>164</v>
      </c>
      <c r="D138" s="5" t="s">
        <v>359</v>
      </c>
      <c r="E138" s="5" t="s">
        <v>166</v>
      </c>
      <c r="F138" s="7" t="n">
        <v>18004.42</v>
      </c>
      <c r="G138" s="5" t="s">
        <v>38</v>
      </c>
      <c r="H138" s="5" t="s">
        <v>39</v>
      </c>
      <c r="I138" s="5" t="s">
        <v>47</v>
      </c>
      <c r="J138" s="5"/>
      <c r="K138" s="5" t="str">
        <f aca="false">IF(D138="","",IF(COUNTIF($D$2:$D$321,D138)&gt;1,"DUPLICATE","OK"))</f>
        <v>OK</v>
      </c>
      <c r="L138" s="5"/>
      <c r="M138" s="5"/>
    </row>
    <row r="139" customFormat="false" ht="15" hidden="false" customHeight="false" outlineLevel="0" collapsed="false">
      <c r="A139" s="8" t="s">
        <v>360</v>
      </c>
      <c r="B139" s="9" t="n">
        <v>45665</v>
      </c>
      <c r="C139" s="8" t="s">
        <v>75</v>
      </c>
      <c r="D139" s="8" t="s">
        <v>361</v>
      </c>
      <c r="E139" s="8" t="s">
        <v>77</v>
      </c>
      <c r="F139" s="10" t="n">
        <v>10236.8</v>
      </c>
      <c r="G139" s="8" t="s">
        <v>45</v>
      </c>
      <c r="H139" s="8" t="s">
        <v>46</v>
      </c>
      <c r="I139" s="8" t="s">
        <v>40</v>
      </c>
      <c r="J139" s="8"/>
      <c r="K139" s="8" t="str">
        <f aca="false">IF(D139="","",IF(COUNTIF($D$2:$D$321,D139)&gt;1,"DUPLICATE","OK"))</f>
        <v>OK</v>
      </c>
      <c r="L139" s="8"/>
      <c r="M139" s="8"/>
    </row>
    <row r="140" customFormat="false" ht="15" hidden="false" customHeight="false" outlineLevel="0" collapsed="false">
      <c r="A140" s="5" t="s">
        <v>362</v>
      </c>
      <c r="B140" s="6" t="n">
        <v>45989</v>
      </c>
      <c r="C140" s="5" t="s">
        <v>228</v>
      </c>
      <c r="D140" s="5" t="s">
        <v>363</v>
      </c>
      <c r="E140" s="5" t="s">
        <v>230</v>
      </c>
      <c r="F140" s="7" t="n">
        <v>15402.2</v>
      </c>
      <c r="G140" s="5" t="s">
        <v>78</v>
      </c>
      <c r="H140" s="5" t="s">
        <v>39</v>
      </c>
      <c r="I140" s="5" t="s">
        <v>88</v>
      </c>
      <c r="J140" s="5"/>
      <c r="K140" s="5" t="str">
        <f aca="false">IF(D140="","",IF(COUNTIF($D$2:$D$321,D140)&gt;1,"DUPLICATE","OK"))</f>
        <v>OK</v>
      </c>
      <c r="L140" s="5"/>
      <c r="M140" s="5"/>
    </row>
    <row r="141" customFormat="false" ht="15" hidden="false" customHeight="false" outlineLevel="0" collapsed="false">
      <c r="A141" s="8" t="s">
        <v>364</v>
      </c>
      <c r="B141" s="9" t="n">
        <v>45870</v>
      </c>
      <c r="C141" s="8" t="s">
        <v>114</v>
      </c>
      <c r="D141" s="8" t="s">
        <v>365</v>
      </c>
      <c r="E141" s="8" t="s">
        <v>116</v>
      </c>
      <c r="F141" s="10" t="n">
        <v>-15449.83</v>
      </c>
      <c r="G141" s="8" t="s">
        <v>78</v>
      </c>
      <c r="H141" s="8" t="s">
        <v>46</v>
      </c>
      <c r="I141" s="8" t="s">
        <v>57</v>
      </c>
      <c r="J141" s="8"/>
      <c r="K141" s="8" t="str">
        <f aca="false">IF(D141="","",IF(COUNTIF($D$2:$D$321,D141)&gt;1,"DUPLICATE","OK"))</f>
        <v>OK</v>
      </c>
      <c r="L141" s="8"/>
      <c r="M141" s="8"/>
    </row>
    <row r="142" customFormat="false" ht="15" hidden="false" customHeight="false" outlineLevel="0" collapsed="false">
      <c r="A142" s="5" t="s">
        <v>366</v>
      </c>
      <c r="B142" s="6" t="n">
        <v>45854</v>
      </c>
      <c r="C142" s="5" t="s">
        <v>42</v>
      </c>
      <c r="D142" s="5" t="s">
        <v>367</v>
      </c>
      <c r="E142" s="5" t="s">
        <v>44</v>
      </c>
      <c r="F142" s="7" t="n">
        <v>3562.71</v>
      </c>
      <c r="G142" s="5" t="s">
        <v>38</v>
      </c>
      <c r="H142" s="5" t="s">
        <v>46</v>
      </c>
      <c r="I142" s="5" t="s">
        <v>88</v>
      </c>
      <c r="J142" s="5"/>
      <c r="K142" s="5" t="str">
        <f aca="false">IF(D142="","",IF(COUNTIF($D$2:$D$321,D142)&gt;1,"DUPLICATE","OK"))</f>
        <v>OK</v>
      </c>
      <c r="L142" s="5"/>
      <c r="M142" s="5"/>
    </row>
    <row r="143" customFormat="false" ht="15" hidden="false" customHeight="false" outlineLevel="0" collapsed="false">
      <c r="A143" s="8" t="s">
        <v>368</v>
      </c>
      <c r="B143" s="9" t="n">
        <v>45917</v>
      </c>
      <c r="C143" s="8" t="s">
        <v>54</v>
      </c>
      <c r="D143" s="8" t="s">
        <v>369</v>
      </c>
      <c r="E143" s="8" t="s">
        <v>56</v>
      </c>
      <c r="F143" s="10" t="n">
        <v>4975.67</v>
      </c>
      <c r="G143" s="8" t="s">
        <v>45</v>
      </c>
      <c r="H143" s="8" t="s">
        <v>79</v>
      </c>
      <c r="I143" s="8" t="s">
        <v>88</v>
      </c>
      <c r="J143" s="8"/>
      <c r="K143" s="8" t="str">
        <f aca="false">IF(D143="","",IF(COUNTIF($D$2:$D$321,D143)&gt;1,"DUPLICATE","OK"))</f>
        <v>OK</v>
      </c>
      <c r="L143" s="8"/>
      <c r="M143" s="8"/>
    </row>
    <row r="144" customFormat="false" ht="15" hidden="false" customHeight="false" outlineLevel="0" collapsed="false">
      <c r="A144" s="5" t="s">
        <v>370</v>
      </c>
      <c r="B144" s="6" t="n">
        <v>45995</v>
      </c>
      <c r="C144" s="5" t="s">
        <v>160</v>
      </c>
      <c r="D144" s="5" t="s">
        <v>371</v>
      </c>
      <c r="E144" s="5" t="s">
        <v>162</v>
      </c>
      <c r="F144" s="7" t="n">
        <v>9081.31</v>
      </c>
      <c r="G144" s="5" t="s">
        <v>38</v>
      </c>
      <c r="H144" s="5" t="s">
        <v>79</v>
      </c>
      <c r="I144" s="5" t="s">
        <v>52</v>
      </c>
      <c r="J144" s="5"/>
      <c r="K144" s="5" t="str">
        <f aca="false">IF(D144="","",IF(COUNTIF($D$2:$D$321,D144)&gt;1,"DUPLICATE","OK"))</f>
        <v>OK</v>
      </c>
      <c r="L144" s="5"/>
      <c r="M144" s="5"/>
    </row>
    <row r="145" customFormat="false" ht="15" hidden="false" customHeight="false" outlineLevel="0" collapsed="false">
      <c r="A145" s="8" t="s">
        <v>372</v>
      </c>
      <c r="B145" s="9" t="n">
        <v>45828</v>
      </c>
      <c r="C145" s="8" t="s">
        <v>164</v>
      </c>
      <c r="D145" s="8" t="s">
        <v>373</v>
      </c>
      <c r="E145" s="8" t="s">
        <v>166</v>
      </c>
      <c r="F145" s="10" t="n">
        <v>10230.64</v>
      </c>
      <c r="G145" s="8" t="s">
        <v>78</v>
      </c>
      <c r="H145" s="8" t="s">
        <v>79</v>
      </c>
      <c r="I145" s="8" t="s">
        <v>88</v>
      </c>
      <c r="J145" s="8"/>
      <c r="K145" s="8" t="str">
        <f aca="false">IF(D145="","",IF(COUNTIF($D$2:$D$321,D145)&gt;1,"DUPLICATE","OK"))</f>
        <v>OK</v>
      </c>
      <c r="L145" s="8"/>
      <c r="M145" s="8"/>
    </row>
    <row r="146" customFormat="false" ht="15" hidden="false" customHeight="false" outlineLevel="0" collapsed="false">
      <c r="A146" s="5" t="s">
        <v>374</v>
      </c>
      <c r="B146" s="6" t="n">
        <v>45950</v>
      </c>
      <c r="C146" s="5" t="s">
        <v>94</v>
      </c>
      <c r="D146" s="5" t="s">
        <v>375</v>
      </c>
      <c r="E146" s="5" t="s">
        <v>96</v>
      </c>
      <c r="F146" s="7" t="n">
        <v>7112.73</v>
      </c>
      <c r="G146" s="5" t="s">
        <v>78</v>
      </c>
      <c r="H146" s="5" t="s">
        <v>46</v>
      </c>
      <c r="I146" s="5" t="s">
        <v>88</v>
      </c>
      <c r="J146" s="5"/>
      <c r="K146" s="5" t="str">
        <f aca="false">IF(D146="","",IF(COUNTIF($D$2:$D$321,D146)&gt;1,"DUPLICATE","OK"))</f>
        <v>OK</v>
      </c>
      <c r="L146" s="5"/>
      <c r="M146" s="5"/>
    </row>
    <row r="147" customFormat="false" ht="15" hidden="false" customHeight="false" outlineLevel="0" collapsed="false">
      <c r="A147" s="8" t="s">
        <v>376</v>
      </c>
      <c r="B147" s="9" t="n">
        <v>45855</v>
      </c>
      <c r="C147" s="8" t="s">
        <v>164</v>
      </c>
      <c r="D147" s="8" t="s">
        <v>377</v>
      </c>
      <c r="E147" s="8" t="s">
        <v>166</v>
      </c>
      <c r="F147" s="10" t="n">
        <v>-18286.18</v>
      </c>
      <c r="G147" s="8" t="s">
        <v>38</v>
      </c>
      <c r="H147" s="8" t="s">
        <v>79</v>
      </c>
      <c r="I147" s="8" t="s">
        <v>40</v>
      </c>
      <c r="J147" s="8"/>
      <c r="K147" s="8" t="str">
        <f aca="false">IF(D147="","",IF(COUNTIF($D$2:$D$321,D147)&gt;1,"DUPLICATE","OK"))</f>
        <v>OK</v>
      </c>
      <c r="L147" s="8"/>
      <c r="M147" s="8"/>
    </row>
    <row r="148" customFormat="false" ht="15" hidden="false" customHeight="false" outlineLevel="0" collapsed="false">
      <c r="A148" s="5" t="s">
        <v>378</v>
      </c>
      <c r="B148" s="6" t="n">
        <v>45960</v>
      </c>
      <c r="C148" s="5" t="s">
        <v>98</v>
      </c>
      <c r="D148" s="5" t="s">
        <v>379</v>
      </c>
      <c r="E148" s="5" t="s">
        <v>100</v>
      </c>
      <c r="F148" s="7" t="n">
        <v>6171.96</v>
      </c>
      <c r="G148" s="5" t="s">
        <v>45</v>
      </c>
      <c r="H148" s="5" t="s">
        <v>79</v>
      </c>
      <c r="I148" s="5" t="s">
        <v>40</v>
      </c>
      <c r="J148" s="5"/>
      <c r="K148" s="5" t="str">
        <f aca="false">IF(D148="","",IF(COUNTIF($D$2:$D$321,D148)&gt;1,"DUPLICATE","OK"))</f>
        <v>OK</v>
      </c>
      <c r="L148" s="5"/>
      <c r="M148" s="5"/>
    </row>
    <row r="149" customFormat="false" ht="15" hidden="false" customHeight="false" outlineLevel="0" collapsed="false">
      <c r="A149" s="8" t="s">
        <v>380</v>
      </c>
      <c r="B149" s="9" t="n">
        <v>45665</v>
      </c>
      <c r="C149" s="8" t="s">
        <v>114</v>
      </c>
      <c r="D149" s="8" t="s">
        <v>381</v>
      </c>
      <c r="E149" s="8" t="s">
        <v>116</v>
      </c>
      <c r="F149" s="10" t="n">
        <v>13377.7</v>
      </c>
      <c r="G149" s="8" t="s">
        <v>78</v>
      </c>
      <c r="H149" s="8" t="s">
        <v>39</v>
      </c>
      <c r="I149" s="8" t="s">
        <v>47</v>
      </c>
      <c r="J149" s="8"/>
      <c r="K149" s="8" t="str">
        <f aca="false">IF(D149="","",IF(COUNTIF($D$2:$D$321,D149)&gt;1,"DUPLICATE","OK"))</f>
        <v>DUPLICATE</v>
      </c>
      <c r="L149" s="8"/>
      <c r="M149" s="8"/>
    </row>
    <row r="150" customFormat="false" ht="15" hidden="false" customHeight="false" outlineLevel="0" collapsed="false">
      <c r="A150" s="5" t="s">
        <v>382</v>
      </c>
      <c r="B150" s="6" t="n">
        <v>45793</v>
      </c>
      <c r="C150" s="5" t="s">
        <v>104</v>
      </c>
      <c r="D150" s="5" t="s">
        <v>383</v>
      </c>
      <c r="E150" s="5" t="s">
        <v>106</v>
      </c>
      <c r="F150" s="7" t="n">
        <v>6293.15</v>
      </c>
      <c r="G150" s="5" t="s">
        <v>78</v>
      </c>
      <c r="H150" s="5" t="s">
        <v>39</v>
      </c>
      <c r="I150" s="5"/>
      <c r="J150" s="5"/>
      <c r="K150" s="5" t="str">
        <f aca="false">IF(D150="","",IF(COUNTIF($D$2:$D$321,D150)&gt;1,"DUPLICATE","OK"))</f>
        <v>OK</v>
      </c>
      <c r="L150" s="5"/>
      <c r="M150" s="5"/>
    </row>
    <row r="151" customFormat="false" ht="15" hidden="false" customHeight="false" outlineLevel="0" collapsed="false">
      <c r="A151" s="8" t="s">
        <v>384</v>
      </c>
      <c r="B151" s="9" t="n">
        <v>45931</v>
      </c>
      <c r="C151" s="8" t="s">
        <v>59</v>
      </c>
      <c r="D151" s="8" t="s">
        <v>385</v>
      </c>
      <c r="E151" s="8" t="s">
        <v>61</v>
      </c>
      <c r="F151" s="10" t="n">
        <v>7058.07</v>
      </c>
      <c r="G151" s="8" t="s">
        <v>62</v>
      </c>
      <c r="H151" s="8" t="s">
        <v>39</v>
      </c>
      <c r="I151" s="8" t="s">
        <v>57</v>
      </c>
      <c r="J151" s="8"/>
      <c r="K151" s="8" t="str">
        <f aca="false">IF(D151="","",IF(COUNTIF($D$2:$D$321,D151)&gt;1,"DUPLICATE","OK"))</f>
        <v>OK</v>
      </c>
      <c r="L151" s="8"/>
      <c r="M151" s="8"/>
    </row>
    <row r="152" customFormat="false" ht="15" hidden="false" customHeight="false" outlineLevel="0" collapsed="false">
      <c r="A152" s="5" t="s">
        <v>386</v>
      </c>
      <c r="B152" s="6" t="n">
        <v>45974</v>
      </c>
      <c r="C152" s="5" t="s">
        <v>42</v>
      </c>
      <c r="D152" s="5" t="s">
        <v>387</v>
      </c>
      <c r="E152" s="5" t="s">
        <v>44</v>
      </c>
      <c r="F152" s="7" t="n">
        <v>1307.7</v>
      </c>
      <c r="G152" s="5" t="s">
        <v>62</v>
      </c>
      <c r="H152" s="5" t="s">
        <v>46</v>
      </c>
      <c r="I152" s="5" t="s">
        <v>40</v>
      </c>
      <c r="J152" s="5"/>
      <c r="K152" s="5" t="str">
        <f aca="false">IF(D152="","",IF(COUNTIF($D$2:$D$321,D152)&gt;1,"DUPLICATE","OK"))</f>
        <v>OK</v>
      </c>
      <c r="L152" s="5"/>
      <c r="M152" s="5"/>
    </row>
    <row r="153" customFormat="false" ht="15" hidden="false" customHeight="false" outlineLevel="0" collapsed="false">
      <c r="A153" s="8" t="s">
        <v>388</v>
      </c>
      <c r="B153" s="9" t="n">
        <v>45982</v>
      </c>
      <c r="C153" s="8"/>
      <c r="D153" s="8" t="s">
        <v>389</v>
      </c>
      <c r="E153" s="8" t="s">
        <v>56</v>
      </c>
      <c r="F153" s="10" t="n">
        <v>13035.31</v>
      </c>
      <c r="G153" s="8" t="s">
        <v>45</v>
      </c>
      <c r="H153" s="8" t="s">
        <v>79</v>
      </c>
      <c r="I153" s="8" t="s">
        <v>47</v>
      </c>
      <c r="J153" s="8"/>
      <c r="K153" s="8" t="str">
        <f aca="false">IF(D153="","",IF(COUNTIF($D$2:$D$321,D153)&gt;1,"DUPLICATE","OK"))</f>
        <v>OK</v>
      </c>
      <c r="L153" s="8"/>
      <c r="M153" s="8"/>
    </row>
    <row r="154" customFormat="false" ht="15" hidden="false" customHeight="false" outlineLevel="0" collapsed="false">
      <c r="A154" s="5" t="s">
        <v>390</v>
      </c>
      <c r="B154" s="6" t="n">
        <v>45681</v>
      </c>
      <c r="C154" s="5" t="s">
        <v>75</v>
      </c>
      <c r="D154" s="5" t="s">
        <v>391</v>
      </c>
      <c r="E154" s="5" t="s">
        <v>77</v>
      </c>
      <c r="F154" s="7" t="n">
        <v>-6031.33</v>
      </c>
      <c r="G154" s="5" t="s">
        <v>45</v>
      </c>
      <c r="H154" s="5" t="s">
        <v>79</v>
      </c>
      <c r="I154" s="5" t="s">
        <v>88</v>
      </c>
      <c r="J154" s="5"/>
      <c r="K154" s="5" t="str">
        <f aca="false">IF(D154="","",IF(COUNTIF($D$2:$D$321,D154)&gt;1,"DUPLICATE","OK"))</f>
        <v>OK</v>
      </c>
      <c r="L154" s="5"/>
      <c r="M154" s="5"/>
    </row>
    <row r="155" customFormat="false" ht="15" hidden="false" customHeight="false" outlineLevel="0" collapsed="false">
      <c r="A155" s="8" t="s">
        <v>392</v>
      </c>
      <c r="B155" s="9" t="n">
        <v>45732</v>
      </c>
      <c r="C155" s="8" t="s">
        <v>71</v>
      </c>
      <c r="D155" s="8" t="s">
        <v>393</v>
      </c>
      <c r="E155" s="8" t="s">
        <v>73</v>
      </c>
      <c r="F155" s="10" t="n">
        <v>4551.66</v>
      </c>
      <c r="G155" s="8" t="s">
        <v>78</v>
      </c>
      <c r="H155" s="8" t="s">
        <v>39</v>
      </c>
      <c r="I155" s="8" t="s">
        <v>47</v>
      </c>
      <c r="J155" s="8"/>
      <c r="K155" s="8" t="str">
        <f aca="false">IF(D155="","",IF(COUNTIF($D$2:$D$321,D155)&gt;1,"DUPLICATE","OK"))</f>
        <v>OK</v>
      </c>
      <c r="L155" s="8"/>
      <c r="M155" s="8"/>
    </row>
    <row r="156" customFormat="false" ht="15" hidden="false" customHeight="false" outlineLevel="0" collapsed="false">
      <c r="A156" s="5" t="s">
        <v>394</v>
      </c>
      <c r="B156" s="6" t="n">
        <v>45698</v>
      </c>
      <c r="C156" s="5" t="s">
        <v>148</v>
      </c>
      <c r="D156" s="5" t="s">
        <v>395</v>
      </c>
      <c r="E156" s="5" t="s">
        <v>150</v>
      </c>
      <c r="F156" s="7" t="n">
        <v>11293.17</v>
      </c>
      <c r="G156" s="5" t="s">
        <v>78</v>
      </c>
      <c r="H156" s="5" t="s">
        <v>39</v>
      </c>
      <c r="I156" s="5" t="s">
        <v>47</v>
      </c>
      <c r="J156" s="5"/>
      <c r="K156" s="5" t="str">
        <f aca="false">IF(D156="","",IF(COUNTIF($D$2:$D$321,D156)&gt;1,"DUPLICATE","OK"))</f>
        <v>OK</v>
      </c>
      <c r="L156" s="5"/>
      <c r="M156" s="5"/>
    </row>
    <row r="157" customFormat="false" ht="15" hidden="false" customHeight="false" outlineLevel="0" collapsed="false">
      <c r="A157" s="8" t="s">
        <v>396</v>
      </c>
      <c r="B157" s="9" t="n">
        <v>45731</v>
      </c>
      <c r="C157" s="8" t="s">
        <v>164</v>
      </c>
      <c r="D157" s="8" t="s">
        <v>397</v>
      </c>
      <c r="E157" s="8" t="s">
        <v>166</v>
      </c>
      <c r="F157" s="10" t="n">
        <v>4330.04</v>
      </c>
      <c r="G157" s="8" t="s">
        <v>62</v>
      </c>
      <c r="H157" s="8" t="s">
        <v>79</v>
      </c>
      <c r="I157" s="8" t="s">
        <v>88</v>
      </c>
      <c r="J157" s="8"/>
      <c r="K157" s="8" t="str">
        <f aca="false">IF(D157="","",IF(COUNTIF($D$2:$D$321,D157)&gt;1,"DUPLICATE","OK"))</f>
        <v>OK</v>
      </c>
      <c r="L157" s="8"/>
      <c r="M157" s="8"/>
    </row>
    <row r="158" customFormat="false" ht="15" hidden="false" customHeight="false" outlineLevel="0" collapsed="false">
      <c r="A158" s="5" t="s">
        <v>398</v>
      </c>
      <c r="B158" s="6" t="n">
        <v>45805</v>
      </c>
      <c r="C158" s="5" t="s">
        <v>120</v>
      </c>
      <c r="D158" s="5" t="s">
        <v>399</v>
      </c>
      <c r="E158" s="5" t="s">
        <v>122</v>
      </c>
      <c r="F158" s="7" t="n">
        <v>12550.31</v>
      </c>
      <c r="G158" s="5" t="s">
        <v>38</v>
      </c>
      <c r="H158" s="5" t="s">
        <v>46</v>
      </c>
      <c r="I158" s="5" t="s">
        <v>57</v>
      </c>
      <c r="J158" s="5"/>
      <c r="K158" s="5" t="str">
        <f aca="false">IF(D158="","",IF(COUNTIF($D$2:$D$321,D158)&gt;1,"DUPLICATE","OK"))</f>
        <v>OK</v>
      </c>
      <c r="L158" s="5"/>
      <c r="M158" s="5"/>
    </row>
    <row r="159" customFormat="false" ht="15" hidden="false" customHeight="false" outlineLevel="0" collapsed="false">
      <c r="A159" s="8" t="s">
        <v>400</v>
      </c>
      <c r="B159" s="9" t="n">
        <v>45811</v>
      </c>
      <c r="C159" s="8" t="s">
        <v>71</v>
      </c>
      <c r="D159" s="8" t="s">
        <v>401</v>
      </c>
      <c r="E159" s="8" t="s">
        <v>73</v>
      </c>
      <c r="F159" s="10" t="n">
        <v>11836.61</v>
      </c>
      <c r="G159" s="8" t="s">
        <v>78</v>
      </c>
      <c r="H159" s="8" t="s">
        <v>39</v>
      </c>
      <c r="I159" s="8" t="s">
        <v>88</v>
      </c>
      <c r="J159" s="8"/>
      <c r="K159" s="8" t="str">
        <f aca="false">IF(D159="","",IF(COUNTIF($D$2:$D$321,D159)&gt;1,"DUPLICATE","OK"))</f>
        <v>OK</v>
      </c>
      <c r="L159" s="8"/>
      <c r="M159" s="8"/>
    </row>
    <row r="160" customFormat="false" ht="15" hidden="false" customHeight="false" outlineLevel="0" collapsed="false">
      <c r="A160" s="5" t="s">
        <v>402</v>
      </c>
      <c r="B160" s="6" t="n">
        <v>45759</v>
      </c>
      <c r="C160" s="5" t="s">
        <v>228</v>
      </c>
      <c r="D160" s="5" t="s">
        <v>403</v>
      </c>
      <c r="E160" s="5" t="s">
        <v>230</v>
      </c>
      <c r="F160" s="7" t="n">
        <v>18488.44</v>
      </c>
      <c r="G160" s="5" t="s">
        <v>78</v>
      </c>
      <c r="H160" s="5" t="s">
        <v>46</v>
      </c>
      <c r="I160" s="5" t="s">
        <v>47</v>
      </c>
      <c r="J160" s="5"/>
      <c r="K160" s="5" t="str">
        <f aca="false">IF(D160="","",IF(COUNTIF($D$2:$D$321,D160)&gt;1,"DUPLICATE","OK"))</f>
        <v>OK</v>
      </c>
      <c r="L160" s="5"/>
      <c r="M160" s="5"/>
    </row>
    <row r="161" customFormat="false" ht="15" hidden="false" customHeight="false" outlineLevel="0" collapsed="false">
      <c r="A161" s="8" t="s">
        <v>404</v>
      </c>
      <c r="B161" s="9" t="n">
        <v>45841</v>
      </c>
      <c r="C161" s="8" t="s">
        <v>65</v>
      </c>
      <c r="D161" s="8" t="s">
        <v>405</v>
      </c>
      <c r="E161" s="8" t="s">
        <v>67</v>
      </c>
      <c r="F161" s="10" t="n">
        <v>10653.15</v>
      </c>
      <c r="G161" s="8" t="s">
        <v>62</v>
      </c>
      <c r="H161" s="8" t="s">
        <v>46</v>
      </c>
      <c r="I161" s="8" t="s">
        <v>57</v>
      </c>
      <c r="J161" s="8"/>
      <c r="K161" s="8" t="str">
        <f aca="false">IF(D161="","",IF(COUNTIF($D$2:$D$321,D161)&gt;1,"DUPLICATE","OK"))</f>
        <v>OK</v>
      </c>
      <c r="L161" s="8"/>
      <c r="M161" s="8"/>
    </row>
    <row r="162" customFormat="false" ht="15" hidden="false" customHeight="false" outlineLevel="0" collapsed="false">
      <c r="A162" s="5" t="s">
        <v>406</v>
      </c>
      <c r="B162" s="6" t="n">
        <v>45947</v>
      </c>
      <c r="C162" s="5" t="s">
        <v>128</v>
      </c>
      <c r="D162" s="5" t="s">
        <v>407</v>
      </c>
      <c r="E162" s="5" t="s">
        <v>130</v>
      </c>
      <c r="F162" s="7" t="n">
        <v>16009.82</v>
      </c>
      <c r="G162" s="5" t="s">
        <v>45</v>
      </c>
      <c r="H162" s="5" t="s">
        <v>39</v>
      </c>
      <c r="I162" s="5" t="s">
        <v>57</v>
      </c>
      <c r="J162" s="5"/>
      <c r="K162" s="5" t="str">
        <f aca="false">IF(D162="","",IF(COUNTIF($D$2:$D$321,D162)&gt;1,"DUPLICATE","OK"))</f>
        <v>OK</v>
      </c>
      <c r="L162" s="5"/>
      <c r="M162" s="5"/>
    </row>
    <row r="163" customFormat="false" ht="15" hidden="false" customHeight="false" outlineLevel="0" collapsed="false">
      <c r="A163" s="8" t="s">
        <v>408</v>
      </c>
      <c r="B163" s="9" t="n">
        <v>45968</v>
      </c>
      <c r="C163" s="8" t="s">
        <v>75</v>
      </c>
      <c r="D163" s="8" t="s">
        <v>409</v>
      </c>
      <c r="E163" s="8" t="s">
        <v>77</v>
      </c>
      <c r="F163" s="10" t="n">
        <v>14844.65</v>
      </c>
      <c r="G163" s="8" t="s">
        <v>38</v>
      </c>
      <c r="H163" s="8" t="s">
        <v>39</v>
      </c>
      <c r="I163" s="8" t="s">
        <v>47</v>
      </c>
      <c r="J163" s="8"/>
      <c r="K163" s="8" t="str">
        <f aca="false">IF(D163="","",IF(COUNTIF($D$2:$D$321,D163)&gt;1,"DUPLICATE","OK"))</f>
        <v>OK</v>
      </c>
      <c r="L163" s="8"/>
      <c r="M163" s="8"/>
    </row>
    <row r="164" customFormat="false" ht="15" hidden="false" customHeight="false" outlineLevel="0" collapsed="false">
      <c r="A164" s="5" t="s">
        <v>410</v>
      </c>
      <c r="B164" s="6" t="n">
        <v>46005</v>
      </c>
      <c r="C164" s="5" t="s">
        <v>83</v>
      </c>
      <c r="D164" s="5" t="s">
        <v>411</v>
      </c>
      <c r="E164" s="5" t="s">
        <v>85</v>
      </c>
      <c r="F164" s="7" t="n">
        <v>13989.18</v>
      </c>
      <c r="G164" s="5" t="s">
        <v>38</v>
      </c>
      <c r="H164" s="5" t="s">
        <v>39</v>
      </c>
      <c r="I164" s="5" t="s">
        <v>40</v>
      </c>
      <c r="J164" s="5"/>
      <c r="K164" s="5" t="str">
        <f aca="false">IF(D164="","",IF(COUNTIF($D$2:$D$321,D164)&gt;1,"DUPLICATE","OK"))</f>
        <v>OK</v>
      </c>
      <c r="L164" s="5"/>
      <c r="M164" s="5"/>
    </row>
    <row r="165" customFormat="false" ht="15" hidden="false" customHeight="false" outlineLevel="0" collapsed="false">
      <c r="A165" s="8" t="s">
        <v>412</v>
      </c>
      <c r="B165" s="9" t="n">
        <v>45883</v>
      </c>
      <c r="C165" s="8" t="s">
        <v>90</v>
      </c>
      <c r="D165" s="8" t="s">
        <v>413</v>
      </c>
      <c r="E165" s="8" t="s">
        <v>92</v>
      </c>
      <c r="F165" s="10" t="n">
        <v>660.74</v>
      </c>
      <c r="G165" s="8" t="s">
        <v>62</v>
      </c>
      <c r="H165" s="8" t="s">
        <v>39</v>
      </c>
      <c r="I165" s="8" t="s">
        <v>47</v>
      </c>
      <c r="J165" s="8"/>
      <c r="K165" s="8" t="str">
        <f aca="false">IF(D165="","",IF(COUNTIF($D$2:$D$321,D165)&gt;1,"DUPLICATE","OK"))</f>
        <v>OK</v>
      </c>
      <c r="L165" s="8"/>
      <c r="M165" s="8"/>
    </row>
    <row r="166" customFormat="false" ht="15" hidden="false" customHeight="false" outlineLevel="0" collapsed="false">
      <c r="A166" s="5" t="s">
        <v>414</v>
      </c>
      <c r="B166" s="5"/>
      <c r="C166" s="5" t="s">
        <v>104</v>
      </c>
      <c r="D166" s="5" t="s">
        <v>415</v>
      </c>
      <c r="E166" s="5" t="s">
        <v>106</v>
      </c>
      <c r="F166" s="7" t="n">
        <v>13839.76</v>
      </c>
      <c r="G166" s="5" t="s">
        <v>38</v>
      </c>
      <c r="H166" s="5" t="s">
        <v>46</v>
      </c>
      <c r="I166" s="5" t="s">
        <v>47</v>
      </c>
      <c r="J166" s="5"/>
      <c r="K166" s="5" t="str">
        <f aca="false">IF(D166="","",IF(COUNTIF($D$2:$D$321,D166)&gt;1,"DUPLICATE","OK"))</f>
        <v>OK</v>
      </c>
      <c r="L166" s="5"/>
      <c r="M166" s="5"/>
    </row>
    <row r="167" customFormat="false" ht="15" hidden="false" customHeight="false" outlineLevel="0" collapsed="false">
      <c r="A167" s="8" t="s">
        <v>416</v>
      </c>
      <c r="B167" s="9" t="n">
        <v>45929</v>
      </c>
      <c r="C167" s="8" t="s">
        <v>42</v>
      </c>
      <c r="D167" s="8" t="s">
        <v>417</v>
      </c>
      <c r="E167" s="8" t="s">
        <v>44</v>
      </c>
      <c r="F167" s="10" t="n">
        <v>9305.62</v>
      </c>
      <c r="G167" s="8" t="s">
        <v>62</v>
      </c>
      <c r="H167" s="8" t="s">
        <v>46</v>
      </c>
      <c r="I167" s="8" t="s">
        <v>88</v>
      </c>
      <c r="J167" s="8"/>
      <c r="K167" s="8" t="str">
        <f aca="false">IF(D167="","",IF(COUNTIF($D$2:$D$321,D167)&gt;1,"DUPLICATE","OK"))</f>
        <v>OK</v>
      </c>
      <c r="L167" s="8"/>
      <c r="M167" s="8"/>
    </row>
    <row r="168" customFormat="false" ht="15" hidden="false" customHeight="false" outlineLevel="0" collapsed="false">
      <c r="A168" s="5" t="s">
        <v>418</v>
      </c>
      <c r="B168" s="6" t="n">
        <v>45831</v>
      </c>
      <c r="C168" s="5" t="s">
        <v>164</v>
      </c>
      <c r="D168" s="5" t="s">
        <v>419</v>
      </c>
      <c r="E168" s="5" t="s">
        <v>166</v>
      </c>
      <c r="F168" s="7" t="n">
        <v>14887.11</v>
      </c>
      <c r="G168" s="5" t="s">
        <v>78</v>
      </c>
      <c r="H168" s="5" t="s">
        <v>46</v>
      </c>
      <c r="I168" s="5" t="s">
        <v>47</v>
      </c>
      <c r="J168" s="5"/>
      <c r="K168" s="5" t="str">
        <f aca="false">IF(D168="","",IF(COUNTIF($D$2:$D$321,D168)&gt;1,"DUPLICATE","OK"))</f>
        <v>OK</v>
      </c>
      <c r="L168" s="5"/>
      <c r="M168" s="5"/>
    </row>
    <row r="169" customFormat="false" ht="15" hidden="false" customHeight="false" outlineLevel="0" collapsed="false">
      <c r="A169" s="8" t="s">
        <v>420</v>
      </c>
      <c r="B169" s="9" t="n">
        <v>46003</v>
      </c>
      <c r="C169" s="8" t="s">
        <v>49</v>
      </c>
      <c r="D169" s="8" t="s">
        <v>421</v>
      </c>
      <c r="E169" s="8" t="s">
        <v>51</v>
      </c>
      <c r="F169" s="10" t="n">
        <v>18129.83</v>
      </c>
      <c r="G169" s="8"/>
      <c r="H169" s="8" t="s">
        <v>46</v>
      </c>
      <c r="I169" s="8" t="s">
        <v>57</v>
      </c>
      <c r="J169" s="8"/>
      <c r="K169" s="8" t="str">
        <f aca="false">IF(D169="","",IF(COUNTIF($D$2:$D$321,D169)&gt;1,"DUPLICATE","OK"))</f>
        <v>OK</v>
      </c>
      <c r="L169" s="8"/>
      <c r="M169" s="8"/>
    </row>
    <row r="170" customFormat="false" ht="15" hidden="false" customHeight="false" outlineLevel="0" collapsed="false">
      <c r="A170" s="5" t="s">
        <v>422</v>
      </c>
      <c r="B170" s="6" t="n">
        <v>45932</v>
      </c>
      <c r="C170" s="5" t="s">
        <v>120</v>
      </c>
      <c r="D170" s="5" t="s">
        <v>423</v>
      </c>
      <c r="E170" s="5" t="s">
        <v>122</v>
      </c>
      <c r="F170" s="7" t="n">
        <v>2325.83</v>
      </c>
      <c r="G170" s="5" t="s">
        <v>62</v>
      </c>
      <c r="H170" s="5" t="s">
        <v>39</v>
      </c>
      <c r="I170" s="5" t="s">
        <v>88</v>
      </c>
      <c r="J170" s="5"/>
      <c r="K170" s="5" t="str">
        <f aca="false">IF(D170="","",IF(COUNTIF($D$2:$D$321,D170)&gt;1,"DUPLICATE","OK"))</f>
        <v>OK</v>
      </c>
      <c r="L170" s="5"/>
      <c r="M170" s="5"/>
    </row>
    <row r="171" customFormat="false" ht="15" hidden="false" customHeight="false" outlineLevel="0" collapsed="false">
      <c r="A171" s="8" t="s">
        <v>424</v>
      </c>
      <c r="B171" s="9" t="n">
        <v>45984</v>
      </c>
      <c r="C171" s="8" t="s">
        <v>160</v>
      </c>
      <c r="D171" s="8" t="s">
        <v>425</v>
      </c>
      <c r="E171" s="8"/>
      <c r="F171" s="10" t="n">
        <v>17398.09</v>
      </c>
      <c r="G171" s="8" t="s">
        <v>45</v>
      </c>
      <c r="H171" s="8" t="s">
        <v>39</v>
      </c>
      <c r="I171" s="8" t="s">
        <v>47</v>
      </c>
      <c r="J171" s="8"/>
      <c r="K171" s="8" t="str">
        <f aca="false">IF(D171="","",IF(COUNTIF($D$2:$D$321,D171)&gt;1,"DUPLICATE","OK"))</f>
        <v>OK</v>
      </c>
      <c r="L171" s="8"/>
      <c r="M171" s="8"/>
    </row>
    <row r="172" customFormat="false" ht="15" hidden="false" customHeight="false" outlineLevel="0" collapsed="false">
      <c r="A172" s="5" t="s">
        <v>426</v>
      </c>
      <c r="B172" s="6" t="n">
        <v>45975</v>
      </c>
      <c r="C172" s="5" t="s">
        <v>164</v>
      </c>
      <c r="D172" s="5" t="s">
        <v>427</v>
      </c>
      <c r="E172" s="5" t="s">
        <v>166</v>
      </c>
      <c r="F172" s="7" t="n">
        <v>16363.55</v>
      </c>
      <c r="G172" s="5" t="s">
        <v>62</v>
      </c>
      <c r="H172" s="5" t="s">
        <v>39</v>
      </c>
      <c r="I172" s="5" t="s">
        <v>47</v>
      </c>
      <c r="J172" s="5"/>
      <c r="K172" s="5" t="str">
        <f aca="false">IF(D172="","",IF(COUNTIF($D$2:$D$321,D172)&gt;1,"DUPLICATE","OK"))</f>
        <v>OK</v>
      </c>
      <c r="L172" s="5"/>
      <c r="M172" s="5"/>
    </row>
    <row r="173" customFormat="false" ht="15" hidden="false" customHeight="false" outlineLevel="0" collapsed="false">
      <c r="A173" s="8" t="s">
        <v>428</v>
      </c>
      <c r="B173" s="9" t="n">
        <v>45895</v>
      </c>
      <c r="C173" s="8" t="s">
        <v>104</v>
      </c>
      <c r="D173" s="8" t="s">
        <v>429</v>
      </c>
      <c r="E173" s="8"/>
      <c r="F173" s="10" t="n">
        <v>16827.75</v>
      </c>
      <c r="G173" s="8" t="s">
        <v>62</v>
      </c>
      <c r="H173" s="8" t="s">
        <v>39</v>
      </c>
      <c r="I173" s="8" t="s">
        <v>57</v>
      </c>
      <c r="J173" s="8"/>
      <c r="K173" s="8" t="str">
        <f aca="false">IF(D173="","",IF(COUNTIF($D$2:$D$321,D173)&gt;1,"DUPLICATE","OK"))</f>
        <v>OK</v>
      </c>
      <c r="L173" s="8"/>
      <c r="M173" s="8"/>
    </row>
    <row r="174" customFormat="false" ht="15" hidden="false" customHeight="false" outlineLevel="0" collapsed="false">
      <c r="A174" s="5" t="s">
        <v>430</v>
      </c>
      <c r="B174" s="6" t="n">
        <v>45681</v>
      </c>
      <c r="C174" s="5" t="s">
        <v>35</v>
      </c>
      <c r="D174" s="5" t="s">
        <v>431</v>
      </c>
      <c r="E174" s="5" t="s">
        <v>37</v>
      </c>
      <c r="F174" s="7" t="n">
        <v>17508.26</v>
      </c>
      <c r="G174" s="5" t="s">
        <v>62</v>
      </c>
      <c r="H174" s="5" t="s">
        <v>278</v>
      </c>
      <c r="I174" s="5" t="s">
        <v>40</v>
      </c>
      <c r="J174" s="5"/>
      <c r="K174" s="5" t="str">
        <f aca="false">IF(D174="","",IF(COUNTIF($D$2:$D$321,D174)&gt;1,"DUPLICATE","OK"))</f>
        <v>OK</v>
      </c>
      <c r="L174" s="5"/>
      <c r="M174" s="5"/>
    </row>
    <row r="175" customFormat="false" ht="15" hidden="false" customHeight="false" outlineLevel="0" collapsed="false">
      <c r="A175" s="8" t="s">
        <v>432</v>
      </c>
      <c r="B175" s="9" t="n">
        <v>45933</v>
      </c>
      <c r="C175" s="8" t="s">
        <v>35</v>
      </c>
      <c r="D175" s="8" t="s">
        <v>433</v>
      </c>
      <c r="E175" s="8" t="s">
        <v>37</v>
      </c>
      <c r="F175" s="10" t="n">
        <v>2548.68</v>
      </c>
      <c r="G175" s="8" t="s">
        <v>78</v>
      </c>
      <c r="H175" s="8" t="s">
        <v>79</v>
      </c>
      <c r="I175" s="8" t="s">
        <v>52</v>
      </c>
      <c r="J175" s="8"/>
      <c r="K175" s="8" t="str">
        <f aca="false">IF(D175="","",IF(COUNTIF($D$2:$D$321,D175)&gt;1,"DUPLICATE","OK"))</f>
        <v>OK</v>
      </c>
      <c r="L175" s="8"/>
      <c r="M175" s="8"/>
    </row>
    <row r="176" customFormat="false" ht="15" hidden="false" customHeight="false" outlineLevel="0" collapsed="false">
      <c r="A176" s="5" t="s">
        <v>434</v>
      </c>
      <c r="B176" s="6" t="n">
        <v>45737</v>
      </c>
      <c r="C176" s="5" t="s">
        <v>54</v>
      </c>
      <c r="D176" s="5" t="s">
        <v>435</v>
      </c>
      <c r="E176" s="5" t="s">
        <v>56</v>
      </c>
      <c r="F176" s="7" t="n">
        <v>16385.31</v>
      </c>
      <c r="G176" s="5" t="s">
        <v>45</v>
      </c>
      <c r="H176" s="5" t="s">
        <v>79</v>
      </c>
      <c r="I176" s="5" t="s">
        <v>52</v>
      </c>
      <c r="J176" s="5"/>
      <c r="K176" s="5" t="str">
        <f aca="false">IF(D176="","",IF(COUNTIF($D$2:$D$321,D176)&gt;1,"DUPLICATE","OK"))</f>
        <v>OK</v>
      </c>
      <c r="L176" s="5"/>
      <c r="M176" s="5"/>
    </row>
    <row r="177" customFormat="false" ht="15" hidden="false" customHeight="false" outlineLevel="0" collapsed="false">
      <c r="A177" s="8" t="s">
        <v>436</v>
      </c>
      <c r="B177" s="9" t="n">
        <v>45674</v>
      </c>
      <c r="C177" s="8" t="s">
        <v>54</v>
      </c>
      <c r="D177" s="8" t="s">
        <v>437</v>
      </c>
      <c r="E177" s="8" t="s">
        <v>56</v>
      </c>
      <c r="F177" s="10" t="n">
        <v>12784.13</v>
      </c>
      <c r="G177" s="8" t="s">
        <v>38</v>
      </c>
      <c r="H177" s="8" t="s">
        <v>79</v>
      </c>
      <c r="I177" s="8" t="s">
        <v>57</v>
      </c>
      <c r="J177" s="8"/>
      <c r="K177" s="8" t="str">
        <f aca="false">IF(D177="","",IF(COUNTIF($D$2:$D$321,D177)&gt;1,"DUPLICATE","OK"))</f>
        <v>OK</v>
      </c>
      <c r="L177" s="8"/>
      <c r="M177" s="8"/>
    </row>
    <row r="178" customFormat="false" ht="15" hidden="false" customHeight="false" outlineLevel="0" collapsed="false">
      <c r="A178" s="5" t="s">
        <v>438</v>
      </c>
      <c r="B178" s="6" t="n">
        <v>45708</v>
      </c>
      <c r="C178" s="5" t="s">
        <v>49</v>
      </c>
      <c r="D178" s="5" t="s">
        <v>439</v>
      </c>
      <c r="E178" s="5" t="s">
        <v>51</v>
      </c>
      <c r="F178" s="7" t="n">
        <v>18148.02</v>
      </c>
      <c r="G178" s="5" t="s">
        <v>62</v>
      </c>
      <c r="H178" s="5" t="s">
        <v>39</v>
      </c>
      <c r="I178" s="5" t="s">
        <v>88</v>
      </c>
      <c r="J178" s="5"/>
      <c r="K178" s="5" t="str">
        <f aca="false">IF(D178="","",IF(COUNTIF($D$2:$D$321,D178)&gt;1,"DUPLICATE","OK"))</f>
        <v>OK</v>
      </c>
      <c r="L178" s="5"/>
      <c r="M178" s="5"/>
    </row>
    <row r="179" customFormat="false" ht="15" hidden="false" customHeight="false" outlineLevel="0" collapsed="false">
      <c r="A179" s="8" t="s">
        <v>440</v>
      </c>
      <c r="B179" s="9" t="n">
        <v>45799</v>
      </c>
      <c r="C179" s="8" t="s">
        <v>90</v>
      </c>
      <c r="D179" s="8" t="s">
        <v>441</v>
      </c>
      <c r="E179" s="8" t="s">
        <v>92</v>
      </c>
      <c r="F179" s="10" t="n">
        <v>3547.92</v>
      </c>
      <c r="G179" s="8" t="s">
        <v>45</v>
      </c>
      <c r="H179" s="8" t="s">
        <v>79</v>
      </c>
      <c r="I179" s="8" t="s">
        <v>40</v>
      </c>
      <c r="J179" s="8"/>
      <c r="K179" s="8" t="str">
        <f aca="false">IF(D179="","",IF(COUNTIF($D$2:$D$321,D179)&gt;1,"DUPLICATE","OK"))</f>
        <v>OK</v>
      </c>
      <c r="L179" s="8"/>
      <c r="M179" s="8"/>
    </row>
    <row r="180" customFormat="false" ht="15" hidden="false" customHeight="false" outlineLevel="0" collapsed="false">
      <c r="A180" s="5" t="s">
        <v>442</v>
      </c>
      <c r="B180" s="6" t="n">
        <v>45985</v>
      </c>
      <c r="C180" s="5" t="s">
        <v>94</v>
      </c>
      <c r="D180" s="5" t="s">
        <v>443</v>
      </c>
      <c r="E180" s="5" t="s">
        <v>96</v>
      </c>
      <c r="F180" s="7" t="n">
        <v>11065.33</v>
      </c>
      <c r="G180" s="5" t="s">
        <v>45</v>
      </c>
      <c r="H180" s="5" t="s">
        <v>46</v>
      </c>
      <c r="I180" s="5" t="s">
        <v>88</v>
      </c>
      <c r="J180" s="5"/>
      <c r="K180" s="5" t="str">
        <f aca="false">IF(D180="","",IF(COUNTIF($D$2:$D$321,D180)&gt;1,"DUPLICATE","OK"))</f>
        <v>OK</v>
      </c>
      <c r="L180" s="5"/>
      <c r="M180" s="5"/>
    </row>
    <row r="181" customFormat="false" ht="15" hidden="false" customHeight="false" outlineLevel="0" collapsed="false">
      <c r="A181" s="8" t="s">
        <v>444</v>
      </c>
      <c r="B181" s="9" t="n">
        <v>45947</v>
      </c>
      <c r="C181" s="8" t="s">
        <v>49</v>
      </c>
      <c r="D181" s="8" t="s">
        <v>445</v>
      </c>
      <c r="E181" s="8" t="s">
        <v>51</v>
      </c>
      <c r="F181" s="10" t="n">
        <v>3832.07</v>
      </c>
      <c r="G181" s="8" t="s">
        <v>38</v>
      </c>
      <c r="H181" s="8" t="s">
        <v>39</v>
      </c>
      <c r="I181" s="8" t="s">
        <v>47</v>
      </c>
      <c r="J181" s="8"/>
      <c r="K181" s="8" t="str">
        <f aca="false">IF(D181="","",IF(COUNTIF($D$2:$D$321,D181)&gt;1,"DUPLICATE","OK"))</f>
        <v>OK</v>
      </c>
      <c r="L181" s="8"/>
      <c r="M181" s="8"/>
    </row>
    <row r="182" customFormat="false" ht="15" hidden="false" customHeight="false" outlineLevel="0" collapsed="false">
      <c r="A182" s="5" t="s">
        <v>446</v>
      </c>
      <c r="B182" s="6" t="n">
        <v>45733</v>
      </c>
      <c r="C182" s="5" t="s">
        <v>49</v>
      </c>
      <c r="D182" s="5" t="s">
        <v>447</v>
      </c>
      <c r="E182" s="5" t="s">
        <v>51</v>
      </c>
      <c r="F182" s="7" t="n">
        <v>14599.42</v>
      </c>
      <c r="G182" s="5" t="s">
        <v>45</v>
      </c>
      <c r="H182" s="5" t="s">
        <v>79</v>
      </c>
      <c r="I182" s="5" t="s">
        <v>47</v>
      </c>
      <c r="J182" s="5"/>
      <c r="K182" s="5" t="str">
        <f aca="false">IF(D182="","",IF(COUNTIF($D$2:$D$321,D182)&gt;1,"DUPLICATE","OK"))</f>
        <v>OK</v>
      </c>
      <c r="L182" s="5"/>
      <c r="M182" s="5"/>
    </row>
    <row r="183" customFormat="false" ht="15" hidden="false" customHeight="false" outlineLevel="0" collapsed="false">
      <c r="A183" s="8" t="s">
        <v>448</v>
      </c>
      <c r="B183" s="9" t="n">
        <v>45786</v>
      </c>
      <c r="C183" s="8" t="s">
        <v>98</v>
      </c>
      <c r="D183" s="8" t="s">
        <v>449</v>
      </c>
      <c r="E183" s="8" t="s">
        <v>100</v>
      </c>
      <c r="F183" s="10" t="n">
        <v>14781.57</v>
      </c>
      <c r="G183" s="8" t="s">
        <v>45</v>
      </c>
      <c r="H183" s="8" t="s">
        <v>39</v>
      </c>
      <c r="I183" s="8" t="s">
        <v>40</v>
      </c>
      <c r="J183" s="8"/>
      <c r="K183" s="8" t="str">
        <f aca="false">IF(D183="","",IF(COUNTIF($D$2:$D$321,D183)&gt;1,"DUPLICATE","OK"))</f>
        <v>OK</v>
      </c>
      <c r="L183" s="8"/>
      <c r="M183" s="8"/>
    </row>
    <row r="184" customFormat="false" ht="15" hidden="false" customHeight="false" outlineLevel="0" collapsed="false">
      <c r="A184" s="5" t="s">
        <v>450</v>
      </c>
      <c r="B184" s="6" t="n">
        <v>45841</v>
      </c>
      <c r="C184" s="5" t="s">
        <v>98</v>
      </c>
      <c r="D184" s="5" t="s">
        <v>451</v>
      </c>
      <c r="E184" s="5" t="s">
        <v>100</v>
      </c>
      <c r="F184" s="7" t="n">
        <v>14624.17</v>
      </c>
      <c r="G184" s="5" t="s">
        <v>38</v>
      </c>
      <c r="H184" s="5" t="s">
        <v>39</v>
      </c>
      <c r="I184" s="5" t="s">
        <v>88</v>
      </c>
      <c r="J184" s="5"/>
      <c r="K184" s="5" t="str">
        <f aca="false">IF(D184="","",IF(COUNTIF($D$2:$D$321,D184)&gt;1,"DUPLICATE","OK"))</f>
        <v>OK</v>
      </c>
      <c r="L184" s="5"/>
      <c r="M184" s="5"/>
    </row>
    <row r="185" customFormat="false" ht="15" hidden="false" customHeight="false" outlineLevel="0" collapsed="false">
      <c r="A185" s="8" t="s">
        <v>452</v>
      </c>
      <c r="B185" s="9" t="n">
        <v>45793</v>
      </c>
      <c r="C185" s="8" t="s">
        <v>120</v>
      </c>
      <c r="D185" s="8" t="s">
        <v>453</v>
      </c>
      <c r="E185" s="8" t="s">
        <v>122</v>
      </c>
      <c r="F185" s="10" t="n">
        <v>1012.02</v>
      </c>
      <c r="G185" s="8" t="s">
        <v>78</v>
      </c>
      <c r="H185" s="8" t="s">
        <v>39</v>
      </c>
      <c r="I185" s="8" t="s">
        <v>40</v>
      </c>
      <c r="J185" s="8"/>
      <c r="K185" s="8" t="str">
        <f aca="false">IF(D185="","",IF(COUNTIF($D$2:$D$321,D185)&gt;1,"DUPLICATE","OK"))</f>
        <v>OK</v>
      </c>
      <c r="L185" s="8"/>
      <c r="M185" s="8"/>
    </row>
    <row r="186" customFormat="false" ht="15" hidden="false" customHeight="false" outlineLevel="0" collapsed="false">
      <c r="A186" s="5" t="s">
        <v>454</v>
      </c>
      <c r="B186" s="6" t="n">
        <v>45887</v>
      </c>
      <c r="C186" s="5" t="s">
        <v>104</v>
      </c>
      <c r="D186" s="5" t="s">
        <v>455</v>
      </c>
      <c r="E186" s="5" t="s">
        <v>106</v>
      </c>
      <c r="F186" s="7" t="n">
        <v>14403.3</v>
      </c>
      <c r="G186" s="5" t="s">
        <v>45</v>
      </c>
      <c r="H186" s="5" t="s">
        <v>79</v>
      </c>
      <c r="I186" s="5" t="s">
        <v>52</v>
      </c>
      <c r="J186" s="5"/>
      <c r="K186" s="5" t="str">
        <f aca="false">IF(D186="","",IF(COUNTIF($D$2:$D$321,D186)&gt;1,"DUPLICATE","OK"))</f>
        <v>OK</v>
      </c>
      <c r="L186" s="5"/>
      <c r="M186" s="5"/>
    </row>
    <row r="187" customFormat="false" ht="15" hidden="false" customHeight="false" outlineLevel="0" collapsed="false">
      <c r="A187" s="8" t="s">
        <v>456</v>
      </c>
      <c r="B187" s="9" t="n">
        <v>45680</v>
      </c>
      <c r="C187" s="8" t="s">
        <v>49</v>
      </c>
      <c r="D187" s="8" t="s">
        <v>457</v>
      </c>
      <c r="E187" s="8" t="s">
        <v>51</v>
      </c>
      <c r="F187" s="10" t="n">
        <v>13466.27</v>
      </c>
      <c r="G187" s="8" t="s">
        <v>62</v>
      </c>
      <c r="H187" s="8" t="s">
        <v>79</v>
      </c>
      <c r="I187" s="8" t="s">
        <v>40</v>
      </c>
      <c r="J187" s="8"/>
      <c r="K187" s="8" t="str">
        <f aca="false">IF(D187="","",IF(COUNTIF($D$2:$D$321,D187)&gt;1,"DUPLICATE","OK"))</f>
        <v>OK</v>
      </c>
      <c r="L187" s="8"/>
      <c r="M187" s="8"/>
    </row>
    <row r="188" customFormat="false" ht="15" hidden="false" customHeight="false" outlineLevel="0" collapsed="false">
      <c r="A188" s="5" t="s">
        <v>458</v>
      </c>
      <c r="B188" s="6" t="n">
        <v>45863</v>
      </c>
      <c r="C188" s="5" t="s">
        <v>90</v>
      </c>
      <c r="D188" s="5" t="s">
        <v>459</v>
      </c>
      <c r="E188" s="5" t="s">
        <v>92</v>
      </c>
      <c r="F188" s="7" t="n">
        <v>7911.88</v>
      </c>
      <c r="G188" s="5" t="s">
        <v>45</v>
      </c>
      <c r="H188" s="5" t="s">
        <v>79</v>
      </c>
      <c r="I188" s="5" t="s">
        <v>57</v>
      </c>
      <c r="J188" s="5"/>
      <c r="K188" s="5" t="str">
        <f aca="false">IF(D188="","",IF(COUNTIF($D$2:$D$321,D188)&gt;1,"DUPLICATE","OK"))</f>
        <v>OK</v>
      </c>
      <c r="L188" s="5"/>
      <c r="M188" s="5"/>
    </row>
    <row r="189" customFormat="false" ht="15" hidden="false" customHeight="false" outlineLevel="0" collapsed="false">
      <c r="A189" s="8" t="s">
        <v>460</v>
      </c>
      <c r="B189" s="9" t="n">
        <v>45822</v>
      </c>
      <c r="C189" s="8" t="s">
        <v>104</v>
      </c>
      <c r="D189" s="8" t="s">
        <v>461</v>
      </c>
      <c r="E189" s="8" t="s">
        <v>106</v>
      </c>
      <c r="F189" s="10" t="n">
        <v>11271.13</v>
      </c>
      <c r="G189" s="8" t="s">
        <v>45</v>
      </c>
      <c r="H189" s="8" t="s">
        <v>46</v>
      </c>
      <c r="I189" s="8" t="s">
        <v>88</v>
      </c>
      <c r="J189" s="8"/>
      <c r="K189" s="8" t="str">
        <f aca="false">IF(D189="","",IF(COUNTIF($D$2:$D$321,D189)&gt;1,"DUPLICATE","OK"))</f>
        <v>OK</v>
      </c>
      <c r="L189" s="8"/>
      <c r="M189" s="8"/>
    </row>
    <row r="190" customFormat="false" ht="15" hidden="false" customHeight="false" outlineLevel="0" collapsed="false">
      <c r="A190" s="5" t="s">
        <v>462</v>
      </c>
      <c r="B190" s="6" t="n">
        <v>45957</v>
      </c>
      <c r="C190" s="5" t="s">
        <v>83</v>
      </c>
      <c r="D190" s="5" t="s">
        <v>463</v>
      </c>
      <c r="E190" s="5" t="s">
        <v>85</v>
      </c>
      <c r="F190" s="7" t="n">
        <v>10164.92</v>
      </c>
      <c r="G190" s="5" t="s">
        <v>62</v>
      </c>
      <c r="H190" s="5" t="s">
        <v>79</v>
      </c>
      <c r="I190" s="5" t="s">
        <v>52</v>
      </c>
      <c r="J190" s="5"/>
      <c r="K190" s="5" t="str">
        <f aca="false">IF(D190="","",IF(COUNTIF($D$2:$D$321,D190)&gt;1,"DUPLICATE","OK"))</f>
        <v>OK</v>
      </c>
      <c r="L190" s="5"/>
      <c r="M190" s="5"/>
    </row>
    <row r="191" customFormat="false" ht="15" hidden="false" customHeight="false" outlineLevel="0" collapsed="false">
      <c r="A191" s="8" t="s">
        <v>464</v>
      </c>
      <c r="B191" s="9" t="n">
        <v>45890</v>
      </c>
      <c r="C191" s="8" t="s">
        <v>114</v>
      </c>
      <c r="D191" s="8" t="s">
        <v>465</v>
      </c>
      <c r="E191" s="8" t="s">
        <v>116</v>
      </c>
      <c r="F191" s="10" t="n">
        <v>9374.95</v>
      </c>
      <c r="G191" s="8" t="s">
        <v>78</v>
      </c>
      <c r="H191" s="8" t="s">
        <v>46</v>
      </c>
      <c r="I191" s="8" t="s">
        <v>40</v>
      </c>
      <c r="J191" s="8"/>
      <c r="K191" s="8" t="str">
        <f aca="false">IF(D191="","",IF(COUNTIF($D$2:$D$321,D191)&gt;1,"DUPLICATE","OK"))</f>
        <v>OK</v>
      </c>
      <c r="L191" s="8"/>
      <c r="M191" s="8"/>
    </row>
    <row r="192" customFormat="false" ht="15" hidden="false" customHeight="false" outlineLevel="0" collapsed="false">
      <c r="A192" s="5" t="s">
        <v>466</v>
      </c>
      <c r="B192" s="6" t="n">
        <v>45878</v>
      </c>
      <c r="C192" s="5" t="s">
        <v>42</v>
      </c>
      <c r="D192" s="5" t="s">
        <v>467</v>
      </c>
      <c r="E192" s="5" t="s">
        <v>44</v>
      </c>
      <c r="F192" s="7" t="n">
        <v>8378.45</v>
      </c>
      <c r="G192" s="5" t="s">
        <v>38</v>
      </c>
      <c r="H192" s="5" t="s">
        <v>79</v>
      </c>
      <c r="I192" s="5" t="s">
        <v>88</v>
      </c>
      <c r="J192" s="5"/>
      <c r="K192" s="5" t="str">
        <f aca="false">IF(D192="","",IF(COUNTIF($D$2:$D$321,D192)&gt;1,"DUPLICATE","OK"))</f>
        <v>OK</v>
      </c>
      <c r="L192" s="5"/>
      <c r="M192" s="5"/>
    </row>
    <row r="193" customFormat="false" ht="15" hidden="false" customHeight="false" outlineLevel="0" collapsed="false">
      <c r="A193" s="8" t="s">
        <v>468</v>
      </c>
      <c r="B193" s="9" t="n">
        <v>45870</v>
      </c>
      <c r="C193" s="8" t="s">
        <v>228</v>
      </c>
      <c r="D193" s="8" t="s">
        <v>469</v>
      </c>
      <c r="E193" s="8" t="s">
        <v>230</v>
      </c>
      <c r="F193" s="10" t="n">
        <v>13510</v>
      </c>
      <c r="G193" s="8" t="s">
        <v>62</v>
      </c>
      <c r="H193" s="8" t="s">
        <v>79</v>
      </c>
      <c r="I193" s="8" t="s">
        <v>88</v>
      </c>
      <c r="J193" s="8"/>
      <c r="K193" s="8" t="str">
        <f aca="false">IF(D193="","",IF(COUNTIF($D$2:$D$321,D193)&gt;1,"DUPLICATE","OK"))</f>
        <v>OK</v>
      </c>
      <c r="L193" s="8"/>
      <c r="M193" s="8"/>
    </row>
    <row r="194" customFormat="false" ht="15" hidden="false" customHeight="false" outlineLevel="0" collapsed="false">
      <c r="A194" s="5" t="s">
        <v>470</v>
      </c>
      <c r="B194" s="6" t="n">
        <v>45736</v>
      </c>
      <c r="C194" s="5" t="s">
        <v>128</v>
      </c>
      <c r="D194" s="5" t="s">
        <v>471</v>
      </c>
      <c r="E194" s="5" t="s">
        <v>130</v>
      </c>
      <c r="F194" s="7" t="n">
        <v>12720.28</v>
      </c>
      <c r="G194" s="5" t="s">
        <v>78</v>
      </c>
      <c r="H194" s="5" t="s">
        <v>46</v>
      </c>
      <c r="I194" s="5" t="s">
        <v>40</v>
      </c>
      <c r="J194" s="5"/>
      <c r="K194" s="5" t="str">
        <f aca="false">IF(D194="","",IF(COUNTIF($D$2:$D$321,D194)&gt;1,"DUPLICATE","OK"))</f>
        <v>OK</v>
      </c>
      <c r="L194" s="5"/>
      <c r="M194" s="5"/>
    </row>
    <row r="195" customFormat="false" ht="15" hidden="false" customHeight="false" outlineLevel="0" collapsed="false">
      <c r="A195" s="8" t="s">
        <v>472</v>
      </c>
      <c r="B195" s="9" t="n">
        <v>45879</v>
      </c>
      <c r="C195" s="8" t="s">
        <v>104</v>
      </c>
      <c r="D195" s="8" t="s">
        <v>473</v>
      </c>
      <c r="E195" s="8" t="s">
        <v>106</v>
      </c>
      <c r="F195" s="10" t="n">
        <v>1827.1</v>
      </c>
      <c r="G195" s="8" t="s">
        <v>62</v>
      </c>
      <c r="H195" s="8" t="s">
        <v>46</v>
      </c>
      <c r="I195" s="8" t="s">
        <v>52</v>
      </c>
      <c r="J195" s="8"/>
      <c r="K195" s="8" t="str">
        <f aca="false">IF(D195="","",IF(COUNTIF($D$2:$D$321,D195)&gt;1,"DUPLICATE","OK"))</f>
        <v>OK</v>
      </c>
      <c r="L195" s="8"/>
      <c r="M195" s="8"/>
    </row>
    <row r="196" customFormat="false" ht="15" hidden="false" customHeight="false" outlineLevel="0" collapsed="false">
      <c r="A196" s="5" t="s">
        <v>474</v>
      </c>
      <c r="B196" s="6" t="n">
        <v>45945</v>
      </c>
      <c r="C196" s="5" t="s">
        <v>90</v>
      </c>
      <c r="D196" s="5" t="s">
        <v>475</v>
      </c>
      <c r="E196" s="5" t="s">
        <v>92</v>
      </c>
      <c r="F196" s="7" t="n">
        <v>10410.87</v>
      </c>
      <c r="G196" s="5" t="s">
        <v>45</v>
      </c>
      <c r="H196" s="5" t="s">
        <v>79</v>
      </c>
      <c r="I196" s="5" t="s">
        <v>88</v>
      </c>
      <c r="J196" s="5"/>
      <c r="K196" s="5" t="str">
        <f aca="false">IF(D196="","",IF(COUNTIF($D$2:$D$321,D196)&gt;1,"DUPLICATE","OK"))</f>
        <v>OK</v>
      </c>
      <c r="L196" s="5"/>
      <c r="M196" s="5"/>
    </row>
    <row r="197" customFormat="false" ht="15" hidden="false" customHeight="false" outlineLevel="0" collapsed="false">
      <c r="A197" s="8" t="s">
        <v>476</v>
      </c>
      <c r="B197" s="9" t="n">
        <v>45805</v>
      </c>
      <c r="C197" s="8" t="s">
        <v>54</v>
      </c>
      <c r="D197" s="8" t="s">
        <v>477</v>
      </c>
      <c r="E197" s="8" t="s">
        <v>56</v>
      </c>
      <c r="F197" s="10" t="n">
        <v>11125.57</v>
      </c>
      <c r="G197" s="8" t="s">
        <v>62</v>
      </c>
      <c r="H197" s="8" t="s">
        <v>46</v>
      </c>
      <c r="I197" s="8" t="s">
        <v>52</v>
      </c>
      <c r="J197" s="8"/>
      <c r="K197" s="8" t="str">
        <f aca="false">IF(D197="","",IF(COUNTIF($D$2:$D$321,D197)&gt;1,"DUPLICATE","OK"))</f>
        <v>OK</v>
      </c>
      <c r="L197" s="8"/>
      <c r="M197" s="8"/>
    </row>
    <row r="198" customFormat="false" ht="15" hidden="false" customHeight="false" outlineLevel="0" collapsed="false">
      <c r="A198" s="5" t="s">
        <v>478</v>
      </c>
      <c r="B198" s="6" t="n">
        <v>45737</v>
      </c>
      <c r="C198" s="5" t="s">
        <v>114</v>
      </c>
      <c r="D198" s="5" t="s">
        <v>479</v>
      </c>
      <c r="E198" s="5" t="s">
        <v>116</v>
      </c>
      <c r="F198" s="7" t="n">
        <v>12165.07</v>
      </c>
      <c r="G198" s="5" t="s">
        <v>38</v>
      </c>
      <c r="H198" s="5" t="s">
        <v>46</v>
      </c>
      <c r="I198" s="5" t="s">
        <v>88</v>
      </c>
      <c r="J198" s="5"/>
      <c r="K198" s="5" t="str">
        <f aca="false">IF(D198="","",IF(COUNTIF($D$2:$D$321,D198)&gt;1,"DUPLICATE","OK"))</f>
        <v>OK</v>
      </c>
      <c r="L198" s="5"/>
      <c r="M198" s="5"/>
    </row>
    <row r="199" customFormat="false" ht="15" hidden="false" customHeight="false" outlineLevel="0" collapsed="false">
      <c r="A199" s="8" t="s">
        <v>480</v>
      </c>
      <c r="B199" s="9" t="n">
        <v>45716</v>
      </c>
      <c r="C199" s="8" t="s">
        <v>42</v>
      </c>
      <c r="D199" s="8" t="s">
        <v>481</v>
      </c>
      <c r="E199" s="8" t="s">
        <v>44</v>
      </c>
      <c r="F199" s="10" t="n">
        <v>14118.89</v>
      </c>
      <c r="G199" s="8" t="s">
        <v>38</v>
      </c>
      <c r="H199" s="8" t="s">
        <v>79</v>
      </c>
      <c r="I199" s="8" t="s">
        <v>52</v>
      </c>
      <c r="J199" s="8"/>
      <c r="K199" s="8" t="str">
        <f aca="false">IF(D199="","",IF(COUNTIF($D$2:$D$321,D199)&gt;1,"DUPLICATE","OK"))</f>
        <v>OK</v>
      </c>
      <c r="L199" s="8"/>
      <c r="M199" s="8"/>
    </row>
    <row r="200" customFormat="false" ht="15" hidden="false" customHeight="false" outlineLevel="0" collapsed="false">
      <c r="A200" s="5" t="s">
        <v>482</v>
      </c>
      <c r="B200" s="6" t="n">
        <v>46003</v>
      </c>
      <c r="C200" s="5" t="s">
        <v>83</v>
      </c>
      <c r="D200" s="5" t="s">
        <v>483</v>
      </c>
      <c r="E200" s="5" t="s">
        <v>85</v>
      </c>
      <c r="F200" s="7" t="n">
        <v>11906.01</v>
      </c>
      <c r="G200" s="5" t="s">
        <v>45</v>
      </c>
      <c r="H200" s="5" t="s">
        <v>39</v>
      </c>
      <c r="I200" s="5" t="s">
        <v>88</v>
      </c>
      <c r="J200" s="5"/>
      <c r="K200" s="5" t="str">
        <f aca="false">IF(D200="","",IF(COUNTIF($D$2:$D$321,D200)&gt;1,"DUPLICATE","OK"))</f>
        <v>OK</v>
      </c>
      <c r="L200" s="5"/>
      <c r="M200" s="5"/>
    </row>
    <row r="201" customFormat="false" ht="15" hidden="false" customHeight="false" outlineLevel="0" collapsed="false">
      <c r="A201" s="8" t="s">
        <v>484</v>
      </c>
      <c r="B201" s="9" t="n">
        <v>45797</v>
      </c>
      <c r="C201" s="8" t="s">
        <v>120</v>
      </c>
      <c r="D201" s="8" t="s">
        <v>485</v>
      </c>
      <c r="E201" s="8" t="s">
        <v>122</v>
      </c>
      <c r="F201" s="10" t="n">
        <v>13013.31</v>
      </c>
      <c r="G201" s="8" t="s">
        <v>62</v>
      </c>
      <c r="H201" s="8" t="s">
        <v>79</v>
      </c>
      <c r="I201" s="8" t="s">
        <v>88</v>
      </c>
      <c r="J201" s="8"/>
      <c r="K201" s="8" t="str">
        <f aca="false">IF(D201="","",IF(COUNTIF($D$2:$D$321,D201)&gt;1,"DUPLICATE","OK"))</f>
        <v>OK</v>
      </c>
      <c r="L201" s="8"/>
      <c r="M201" s="8"/>
    </row>
    <row r="202" customFormat="false" ht="15" hidden="false" customHeight="false" outlineLevel="0" collapsed="false">
      <c r="A202" s="5" t="s">
        <v>486</v>
      </c>
      <c r="B202" s="6" t="n">
        <v>45731</v>
      </c>
      <c r="C202" s="5" t="s">
        <v>120</v>
      </c>
      <c r="D202" s="5" t="s">
        <v>487</v>
      </c>
      <c r="E202" s="5" t="s">
        <v>122</v>
      </c>
      <c r="F202" s="7" t="n">
        <v>10496.46</v>
      </c>
      <c r="G202" s="5" t="s">
        <v>78</v>
      </c>
      <c r="H202" s="5" t="s">
        <v>46</v>
      </c>
      <c r="I202" s="5" t="s">
        <v>47</v>
      </c>
      <c r="J202" s="5"/>
      <c r="K202" s="5" t="str">
        <f aca="false">IF(D202="","",IF(COUNTIF($D$2:$D$321,D202)&gt;1,"DUPLICATE","OK"))</f>
        <v>OK</v>
      </c>
      <c r="L202" s="5"/>
      <c r="M202" s="5"/>
    </row>
    <row r="203" customFormat="false" ht="15" hidden="false" customHeight="false" outlineLevel="0" collapsed="false">
      <c r="A203" s="8" t="s">
        <v>488</v>
      </c>
      <c r="B203" s="9" t="n">
        <v>45929</v>
      </c>
      <c r="C203" s="8" t="s">
        <v>120</v>
      </c>
      <c r="D203" s="8" t="s">
        <v>489</v>
      </c>
      <c r="E203" s="8" t="s">
        <v>122</v>
      </c>
      <c r="F203" s="10" t="n">
        <v>4015.28</v>
      </c>
      <c r="G203" s="8" t="s">
        <v>78</v>
      </c>
      <c r="H203" s="8" t="s">
        <v>79</v>
      </c>
      <c r="I203" s="8" t="s">
        <v>88</v>
      </c>
      <c r="J203" s="8"/>
      <c r="K203" s="8" t="str">
        <f aca="false">IF(D203="","",IF(COUNTIF($D$2:$D$321,D203)&gt;1,"DUPLICATE","OK"))</f>
        <v>OK</v>
      </c>
      <c r="L203" s="8"/>
      <c r="M203" s="8"/>
    </row>
    <row r="204" customFormat="false" ht="15" hidden="false" customHeight="false" outlineLevel="0" collapsed="false">
      <c r="A204" s="5" t="s">
        <v>490</v>
      </c>
      <c r="B204" s="6" t="n">
        <v>45817</v>
      </c>
      <c r="C204" s="5" t="s">
        <v>148</v>
      </c>
      <c r="D204" s="5" t="s">
        <v>491</v>
      </c>
      <c r="E204" s="5" t="s">
        <v>150</v>
      </c>
      <c r="F204" s="7" t="n">
        <v>13362.05</v>
      </c>
      <c r="G204" s="5" t="s">
        <v>45</v>
      </c>
      <c r="H204" s="5" t="s">
        <v>46</v>
      </c>
      <c r="I204" s="5" t="s">
        <v>47</v>
      </c>
      <c r="J204" s="5"/>
      <c r="K204" s="5" t="str">
        <f aca="false">IF(D204="","",IF(COUNTIF($D$2:$D$321,D204)&gt;1,"DUPLICATE","OK"))</f>
        <v>OK</v>
      </c>
      <c r="L204" s="5"/>
      <c r="M204" s="5"/>
    </row>
    <row r="205" customFormat="false" ht="15" hidden="false" customHeight="false" outlineLevel="0" collapsed="false">
      <c r="A205" s="8" t="s">
        <v>492</v>
      </c>
      <c r="B205" s="9" t="n">
        <v>45683</v>
      </c>
      <c r="C205" s="8" t="s">
        <v>148</v>
      </c>
      <c r="D205" s="8" t="s">
        <v>493</v>
      </c>
      <c r="E205" s="8" t="s">
        <v>150</v>
      </c>
      <c r="F205" s="10" t="n">
        <v>12483.09</v>
      </c>
      <c r="G205" s="8" t="s">
        <v>62</v>
      </c>
      <c r="H205" s="8" t="s">
        <v>278</v>
      </c>
      <c r="I205" s="8" t="s">
        <v>57</v>
      </c>
      <c r="J205" s="8"/>
      <c r="K205" s="8" t="str">
        <f aca="false">IF(D205="","",IF(COUNTIF($D$2:$D$321,D205)&gt;1,"DUPLICATE","OK"))</f>
        <v>OK</v>
      </c>
      <c r="L205" s="8"/>
      <c r="M205" s="8"/>
    </row>
    <row r="206" customFormat="false" ht="15" hidden="false" customHeight="false" outlineLevel="0" collapsed="false">
      <c r="A206" s="5" t="s">
        <v>494</v>
      </c>
      <c r="B206" s="6" t="n">
        <v>45884</v>
      </c>
      <c r="C206" s="5" t="s">
        <v>164</v>
      </c>
      <c r="D206" s="5" t="s">
        <v>495</v>
      </c>
      <c r="E206" s="5" t="s">
        <v>166</v>
      </c>
      <c r="F206" s="7" t="n">
        <v>7688.76</v>
      </c>
      <c r="G206" s="5" t="s">
        <v>38</v>
      </c>
      <c r="H206" s="5" t="s">
        <v>39</v>
      </c>
      <c r="I206" s="5" t="s">
        <v>40</v>
      </c>
      <c r="J206" s="5"/>
      <c r="K206" s="5" t="str">
        <f aca="false">IF(D206="","",IF(COUNTIF($D$2:$D$321,D206)&gt;1,"DUPLICATE","OK"))</f>
        <v>OK</v>
      </c>
      <c r="L206" s="5"/>
      <c r="M206" s="5"/>
    </row>
    <row r="207" customFormat="false" ht="15" hidden="false" customHeight="false" outlineLevel="0" collapsed="false">
      <c r="A207" s="8" t="s">
        <v>496</v>
      </c>
      <c r="B207" s="9" t="n">
        <v>45714</v>
      </c>
      <c r="C207" s="8" t="s">
        <v>71</v>
      </c>
      <c r="D207" s="8" t="s">
        <v>497</v>
      </c>
      <c r="E207" s="8" t="s">
        <v>73</v>
      </c>
      <c r="F207" s="10" t="n">
        <v>5272.31</v>
      </c>
      <c r="G207" s="8" t="s">
        <v>78</v>
      </c>
      <c r="H207" s="8" t="s">
        <v>39</v>
      </c>
      <c r="I207" s="8" t="s">
        <v>88</v>
      </c>
      <c r="J207" s="8"/>
      <c r="K207" s="8" t="str">
        <f aca="false">IF(D207="","",IF(COUNTIF($D$2:$D$321,D207)&gt;1,"DUPLICATE","OK"))</f>
        <v>OK</v>
      </c>
      <c r="L207" s="8"/>
      <c r="M207" s="8"/>
    </row>
    <row r="208" customFormat="false" ht="15" hidden="false" customHeight="false" outlineLevel="0" collapsed="false">
      <c r="A208" s="5" t="s">
        <v>498</v>
      </c>
      <c r="B208" s="6" t="n">
        <v>45860</v>
      </c>
      <c r="C208" s="5" t="s">
        <v>90</v>
      </c>
      <c r="D208" s="5" t="s">
        <v>499</v>
      </c>
      <c r="E208" s="5" t="s">
        <v>92</v>
      </c>
      <c r="F208" s="7" t="n">
        <v>18212.94</v>
      </c>
      <c r="G208" s="5" t="s">
        <v>45</v>
      </c>
      <c r="H208" s="5" t="s">
        <v>46</v>
      </c>
      <c r="I208" s="5" t="s">
        <v>47</v>
      </c>
      <c r="J208" s="5"/>
      <c r="K208" s="5" t="str">
        <f aca="false">IF(D208="","",IF(COUNTIF($D$2:$D$321,D208)&gt;1,"DUPLICATE","OK"))</f>
        <v>OK</v>
      </c>
      <c r="L208" s="5"/>
      <c r="M208" s="5"/>
    </row>
    <row r="209" customFormat="false" ht="15" hidden="false" customHeight="false" outlineLevel="0" collapsed="false">
      <c r="A209" s="8" t="s">
        <v>500</v>
      </c>
      <c r="B209" s="9" t="n">
        <v>45728</v>
      </c>
      <c r="C209" s="8" t="s">
        <v>75</v>
      </c>
      <c r="D209" s="8" t="s">
        <v>501</v>
      </c>
      <c r="E209" s="8" t="s">
        <v>77</v>
      </c>
      <c r="F209" s="10" t="n">
        <v>14147.59</v>
      </c>
      <c r="G209" s="8" t="s">
        <v>62</v>
      </c>
      <c r="H209" s="8" t="s">
        <v>79</v>
      </c>
      <c r="I209" s="8" t="s">
        <v>40</v>
      </c>
      <c r="J209" s="8"/>
      <c r="K209" s="8" t="str">
        <f aca="false">IF(D209="","",IF(COUNTIF($D$2:$D$321,D209)&gt;1,"DUPLICATE","OK"))</f>
        <v>OK</v>
      </c>
      <c r="L209" s="8"/>
      <c r="M209" s="8"/>
    </row>
    <row r="210" customFormat="false" ht="15" hidden="false" customHeight="false" outlineLevel="0" collapsed="false">
      <c r="A210" s="5" t="s">
        <v>502</v>
      </c>
      <c r="B210" s="6" t="n">
        <v>45878</v>
      </c>
      <c r="C210" s="5" t="s">
        <v>120</v>
      </c>
      <c r="D210" s="5" t="s">
        <v>503</v>
      </c>
      <c r="E210" s="5" t="s">
        <v>122</v>
      </c>
      <c r="F210" s="7" t="n">
        <v>3287.45</v>
      </c>
      <c r="G210" s="5" t="s">
        <v>78</v>
      </c>
      <c r="H210" s="5" t="s">
        <v>39</v>
      </c>
      <c r="I210" s="5"/>
      <c r="J210" s="5"/>
      <c r="K210" s="5" t="str">
        <f aca="false">IF(D210="","",IF(COUNTIF($D$2:$D$321,D210)&gt;1,"DUPLICATE","OK"))</f>
        <v>OK</v>
      </c>
      <c r="L210" s="5"/>
      <c r="M210" s="5"/>
    </row>
    <row r="211" customFormat="false" ht="15" hidden="false" customHeight="false" outlineLevel="0" collapsed="false">
      <c r="A211" s="8" t="s">
        <v>504</v>
      </c>
      <c r="B211" s="9" t="n">
        <v>46000</v>
      </c>
      <c r="C211" s="8" t="s">
        <v>114</v>
      </c>
      <c r="D211" s="8" t="s">
        <v>505</v>
      </c>
      <c r="E211" s="8" t="s">
        <v>116</v>
      </c>
      <c r="F211" s="10" t="n">
        <v>14923.42</v>
      </c>
      <c r="G211" s="8" t="s">
        <v>45</v>
      </c>
      <c r="H211" s="8" t="s">
        <v>79</v>
      </c>
      <c r="I211" s="8" t="s">
        <v>40</v>
      </c>
      <c r="J211" s="8"/>
      <c r="K211" s="8" t="str">
        <f aca="false">IF(D211="","",IF(COUNTIF($D$2:$D$321,D211)&gt;1,"DUPLICATE","OK"))</f>
        <v>OK</v>
      </c>
      <c r="L211" s="8"/>
      <c r="M211" s="8"/>
    </row>
    <row r="212" customFormat="false" ht="15" hidden="false" customHeight="false" outlineLevel="0" collapsed="false">
      <c r="A212" s="5" t="s">
        <v>506</v>
      </c>
      <c r="B212" s="6" t="n">
        <v>45893</v>
      </c>
      <c r="C212" s="5" t="s">
        <v>54</v>
      </c>
      <c r="D212" s="5" t="s">
        <v>507</v>
      </c>
      <c r="E212" s="5" t="s">
        <v>56</v>
      </c>
      <c r="F212" s="7" t="n">
        <v>17045.05</v>
      </c>
      <c r="G212" s="5" t="s">
        <v>62</v>
      </c>
      <c r="H212" s="5" t="s">
        <v>39</v>
      </c>
      <c r="I212" s="5" t="s">
        <v>57</v>
      </c>
      <c r="J212" s="5"/>
      <c r="K212" s="5" t="str">
        <f aca="false">IF(D212="","",IF(COUNTIF($D$2:$D$321,D212)&gt;1,"DUPLICATE","OK"))</f>
        <v>OK</v>
      </c>
      <c r="L212" s="5"/>
      <c r="M212" s="5"/>
    </row>
    <row r="213" customFormat="false" ht="15" hidden="false" customHeight="false" outlineLevel="0" collapsed="false">
      <c r="A213" s="8" t="s">
        <v>508</v>
      </c>
      <c r="B213" s="9" t="n">
        <v>46021</v>
      </c>
      <c r="C213" s="8" t="s">
        <v>160</v>
      </c>
      <c r="D213" s="8" t="s">
        <v>509</v>
      </c>
      <c r="E213" s="8" t="s">
        <v>162</v>
      </c>
      <c r="F213" s="10" t="n">
        <v>11858.81</v>
      </c>
      <c r="G213" s="8" t="s">
        <v>62</v>
      </c>
      <c r="H213" s="8" t="s">
        <v>46</v>
      </c>
      <c r="I213" s="8" t="s">
        <v>57</v>
      </c>
      <c r="J213" s="8"/>
      <c r="K213" s="8" t="str">
        <f aca="false">IF(D213="","",IF(COUNTIF($D$2:$D$321,D213)&gt;1,"DUPLICATE","OK"))</f>
        <v>OK</v>
      </c>
      <c r="L213" s="8"/>
      <c r="M213" s="8"/>
    </row>
    <row r="214" customFormat="false" ht="15" hidden="false" customHeight="false" outlineLevel="0" collapsed="false">
      <c r="A214" s="5" t="s">
        <v>510</v>
      </c>
      <c r="B214" s="6" t="n">
        <v>45745</v>
      </c>
      <c r="C214" s="5" t="s">
        <v>120</v>
      </c>
      <c r="D214" s="5" t="s">
        <v>511</v>
      </c>
      <c r="E214" s="5" t="s">
        <v>122</v>
      </c>
      <c r="F214" s="7" t="n">
        <v>14833.4</v>
      </c>
      <c r="G214" s="5" t="s">
        <v>78</v>
      </c>
      <c r="H214" s="5" t="s">
        <v>39</v>
      </c>
      <c r="I214" s="5" t="s">
        <v>88</v>
      </c>
      <c r="J214" s="5"/>
      <c r="K214" s="5" t="str">
        <f aca="false">IF(D214="","",IF(COUNTIF($D$2:$D$321,D214)&gt;1,"DUPLICATE","OK"))</f>
        <v>OK</v>
      </c>
      <c r="L214" s="5"/>
      <c r="M214" s="5"/>
    </row>
    <row r="215" customFormat="false" ht="15" hidden="false" customHeight="false" outlineLevel="0" collapsed="false">
      <c r="A215" s="8" t="s">
        <v>512</v>
      </c>
      <c r="B215" s="9" t="n">
        <v>46740</v>
      </c>
      <c r="C215" s="8" t="s">
        <v>104</v>
      </c>
      <c r="D215" s="8" t="s">
        <v>513</v>
      </c>
      <c r="E215" s="8" t="s">
        <v>106</v>
      </c>
      <c r="F215" s="10" t="n">
        <v>4535.41</v>
      </c>
      <c r="G215" s="8" t="s">
        <v>78</v>
      </c>
      <c r="H215" s="8" t="s">
        <v>39</v>
      </c>
      <c r="I215" s="8" t="s">
        <v>40</v>
      </c>
      <c r="J215" s="8"/>
      <c r="K215" s="8" t="str">
        <f aca="false">IF(D215="","",IF(COUNTIF($D$2:$D$321,D215)&gt;1,"DUPLICATE","OK"))</f>
        <v>OK</v>
      </c>
      <c r="L215" s="8"/>
      <c r="M215" s="8"/>
    </row>
    <row r="216" customFormat="false" ht="15" hidden="false" customHeight="false" outlineLevel="0" collapsed="false">
      <c r="A216" s="5" t="s">
        <v>514</v>
      </c>
      <c r="B216" s="6" t="n">
        <v>45831</v>
      </c>
      <c r="C216" s="5" t="s">
        <v>65</v>
      </c>
      <c r="D216" s="5" t="s">
        <v>515</v>
      </c>
      <c r="E216" s="5" t="s">
        <v>67</v>
      </c>
      <c r="F216" s="7" t="n">
        <v>4134.11</v>
      </c>
      <c r="G216" s="5" t="s">
        <v>38</v>
      </c>
      <c r="H216" s="5" t="s">
        <v>46</v>
      </c>
      <c r="I216" s="5" t="s">
        <v>52</v>
      </c>
      <c r="J216" s="5"/>
      <c r="K216" s="5" t="str">
        <f aca="false">IF(D216="","",IF(COUNTIF($D$2:$D$321,D216)&gt;1,"DUPLICATE","OK"))</f>
        <v>OK</v>
      </c>
      <c r="L216" s="5"/>
      <c r="M216" s="5"/>
    </row>
    <row r="217" customFormat="false" ht="15" hidden="false" customHeight="false" outlineLevel="0" collapsed="false">
      <c r="A217" s="8" t="s">
        <v>516</v>
      </c>
      <c r="B217" s="9" t="n">
        <v>45919</v>
      </c>
      <c r="C217" s="8" t="s">
        <v>35</v>
      </c>
      <c r="D217" s="8" t="s">
        <v>517</v>
      </c>
      <c r="E217" s="8" t="s">
        <v>37</v>
      </c>
      <c r="F217" s="10" t="n">
        <v>3623.49</v>
      </c>
      <c r="G217" s="8" t="s">
        <v>62</v>
      </c>
      <c r="H217" s="8" t="s">
        <v>79</v>
      </c>
      <c r="I217" s="8" t="s">
        <v>47</v>
      </c>
      <c r="J217" s="8"/>
      <c r="K217" s="8" t="str">
        <f aca="false">IF(D217="","",IF(COUNTIF($D$2:$D$321,D217)&gt;1,"DUPLICATE","OK"))</f>
        <v>OK</v>
      </c>
      <c r="L217" s="8"/>
      <c r="M217" s="8"/>
    </row>
    <row r="218" customFormat="false" ht="15" hidden="false" customHeight="false" outlineLevel="0" collapsed="false">
      <c r="A218" s="5" t="s">
        <v>518</v>
      </c>
      <c r="B218" s="6" t="n">
        <v>45732</v>
      </c>
      <c r="C218" s="5" t="s">
        <v>49</v>
      </c>
      <c r="D218" s="5" t="s">
        <v>519</v>
      </c>
      <c r="E218" s="5" t="s">
        <v>51</v>
      </c>
      <c r="F218" s="7" t="n">
        <v>4768.89</v>
      </c>
      <c r="G218" s="5" t="s">
        <v>38</v>
      </c>
      <c r="H218" s="5" t="s">
        <v>39</v>
      </c>
      <c r="I218" s="5" t="s">
        <v>47</v>
      </c>
      <c r="J218" s="5"/>
      <c r="K218" s="5" t="str">
        <f aca="false">IF(D218="","",IF(COUNTIF($D$2:$D$321,D218)&gt;1,"DUPLICATE","OK"))</f>
        <v>OK</v>
      </c>
      <c r="L218" s="5"/>
      <c r="M218" s="5"/>
    </row>
    <row r="219" customFormat="false" ht="15" hidden="false" customHeight="false" outlineLevel="0" collapsed="false">
      <c r="A219" s="8" t="s">
        <v>520</v>
      </c>
      <c r="B219" s="9" t="n">
        <v>45979</v>
      </c>
      <c r="C219" s="8" t="s">
        <v>104</v>
      </c>
      <c r="D219" s="8" t="s">
        <v>521</v>
      </c>
      <c r="E219" s="8" t="s">
        <v>106</v>
      </c>
      <c r="F219" s="10" t="n">
        <v>9163.93</v>
      </c>
      <c r="G219" s="8" t="s">
        <v>78</v>
      </c>
      <c r="H219" s="8" t="s">
        <v>39</v>
      </c>
      <c r="I219" s="8" t="s">
        <v>52</v>
      </c>
      <c r="J219" s="8"/>
      <c r="K219" s="8" t="str">
        <f aca="false">IF(D219="","",IF(COUNTIF($D$2:$D$321,D219)&gt;1,"DUPLICATE","OK"))</f>
        <v>OK</v>
      </c>
      <c r="L219" s="8"/>
      <c r="M219" s="8"/>
    </row>
    <row r="220" customFormat="false" ht="15" hidden="false" customHeight="false" outlineLevel="0" collapsed="false">
      <c r="A220" s="5" t="s">
        <v>522</v>
      </c>
      <c r="B220" s="6" t="n">
        <v>45979</v>
      </c>
      <c r="C220" s="5" t="s">
        <v>83</v>
      </c>
      <c r="D220" s="5" t="s">
        <v>523</v>
      </c>
      <c r="E220" s="5" t="s">
        <v>85</v>
      </c>
      <c r="F220" s="7" t="n">
        <v>5879.34</v>
      </c>
      <c r="G220" s="5" t="s">
        <v>78</v>
      </c>
      <c r="H220" s="5" t="s">
        <v>46</v>
      </c>
      <c r="I220" s="5" t="s">
        <v>57</v>
      </c>
      <c r="J220" s="5"/>
      <c r="K220" s="5" t="str">
        <f aca="false">IF(D220="","",IF(COUNTIF($D$2:$D$321,D220)&gt;1,"DUPLICATE","OK"))</f>
        <v>DUPLICATE</v>
      </c>
      <c r="L220" s="5"/>
      <c r="M220" s="5"/>
    </row>
    <row r="221" customFormat="false" ht="15" hidden="false" customHeight="false" outlineLevel="0" collapsed="false">
      <c r="A221" s="8" t="s">
        <v>524</v>
      </c>
      <c r="B221" s="9" t="n">
        <v>45813</v>
      </c>
      <c r="C221" s="8" t="s">
        <v>228</v>
      </c>
      <c r="D221" s="8" t="s">
        <v>525</v>
      </c>
      <c r="E221" s="8" t="s">
        <v>230</v>
      </c>
      <c r="F221" s="10" t="n">
        <v>14741.26</v>
      </c>
      <c r="G221" s="8" t="s">
        <v>45</v>
      </c>
      <c r="H221" s="8" t="s">
        <v>79</v>
      </c>
      <c r="I221" s="8" t="s">
        <v>52</v>
      </c>
      <c r="J221" s="8"/>
      <c r="K221" s="8" t="str">
        <f aca="false">IF(D221="","",IF(COUNTIF($D$2:$D$321,D221)&gt;1,"DUPLICATE","OK"))</f>
        <v>OK</v>
      </c>
      <c r="L221" s="8"/>
      <c r="M221" s="8"/>
    </row>
    <row r="222" customFormat="false" ht="15" hidden="false" customHeight="false" outlineLevel="0" collapsed="false">
      <c r="A222" s="5" t="s">
        <v>526</v>
      </c>
      <c r="B222" s="6" t="n">
        <v>45894</v>
      </c>
      <c r="C222" s="5" t="s">
        <v>104</v>
      </c>
      <c r="D222" s="5" t="s">
        <v>527</v>
      </c>
      <c r="E222" s="5" t="s">
        <v>106</v>
      </c>
      <c r="F222" s="7" t="n">
        <v>8385.07</v>
      </c>
      <c r="G222" s="5" t="s">
        <v>45</v>
      </c>
      <c r="H222" s="5" t="s">
        <v>79</v>
      </c>
      <c r="I222" s="5" t="s">
        <v>88</v>
      </c>
      <c r="J222" s="5"/>
      <c r="K222" s="5" t="str">
        <f aca="false">IF(D222="","",IF(COUNTIF($D$2:$D$321,D222)&gt;1,"DUPLICATE","OK"))</f>
        <v>OK</v>
      </c>
      <c r="L222" s="5"/>
      <c r="M222" s="5"/>
    </row>
    <row r="223" customFormat="false" ht="15" hidden="false" customHeight="false" outlineLevel="0" collapsed="false">
      <c r="A223" s="8" t="s">
        <v>528</v>
      </c>
      <c r="B223" s="9" t="n">
        <v>45704</v>
      </c>
      <c r="C223" s="8" t="s">
        <v>104</v>
      </c>
      <c r="D223" s="8" t="s">
        <v>529</v>
      </c>
      <c r="E223" s="8" t="s">
        <v>106</v>
      </c>
      <c r="F223" s="10" t="n">
        <v>11394.98</v>
      </c>
      <c r="G223" s="8" t="s">
        <v>78</v>
      </c>
      <c r="H223" s="8" t="s">
        <v>79</v>
      </c>
      <c r="I223" s="8" t="s">
        <v>52</v>
      </c>
      <c r="J223" s="8"/>
      <c r="K223" s="8" t="str">
        <f aca="false">IF(D223="","",IF(COUNTIF($D$2:$D$321,D223)&gt;1,"DUPLICATE","OK"))</f>
        <v>OK</v>
      </c>
      <c r="L223" s="8"/>
      <c r="M223" s="8"/>
    </row>
    <row r="224" customFormat="false" ht="15" hidden="false" customHeight="false" outlineLevel="0" collapsed="false">
      <c r="A224" s="5" t="s">
        <v>530</v>
      </c>
      <c r="B224" s="6" t="n">
        <v>45888</v>
      </c>
      <c r="C224" s="5" t="s">
        <v>42</v>
      </c>
      <c r="D224" s="5" t="s">
        <v>531</v>
      </c>
      <c r="E224" s="5" t="s">
        <v>44</v>
      </c>
      <c r="F224" s="7" t="n">
        <v>16821.52</v>
      </c>
      <c r="G224" s="5" t="s">
        <v>38</v>
      </c>
      <c r="H224" s="5" t="s">
        <v>79</v>
      </c>
      <c r="I224" s="5" t="s">
        <v>52</v>
      </c>
      <c r="J224" s="5"/>
      <c r="K224" s="5" t="str">
        <f aca="false">IF(D224="","",IF(COUNTIF($D$2:$D$321,D224)&gt;1,"DUPLICATE","OK"))</f>
        <v>OK</v>
      </c>
      <c r="L224" s="5"/>
      <c r="M224" s="5"/>
    </row>
    <row r="225" customFormat="false" ht="15" hidden="false" customHeight="false" outlineLevel="0" collapsed="false">
      <c r="A225" s="8" t="s">
        <v>532</v>
      </c>
      <c r="B225" s="9" t="n">
        <v>45735</v>
      </c>
      <c r="C225" s="8" t="s">
        <v>164</v>
      </c>
      <c r="D225" s="8" t="s">
        <v>533</v>
      </c>
      <c r="E225" s="8" t="s">
        <v>166</v>
      </c>
      <c r="F225" s="10" t="n">
        <v>17719.77</v>
      </c>
      <c r="G225" s="8" t="s">
        <v>78</v>
      </c>
      <c r="H225" s="8" t="s">
        <v>46</v>
      </c>
      <c r="I225" s="8" t="s">
        <v>88</v>
      </c>
      <c r="J225" s="8"/>
      <c r="K225" s="8" t="str">
        <f aca="false">IF(D225="","",IF(COUNTIF($D$2:$D$321,D225)&gt;1,"DUPLICATE","OK"))</f>
        <v>OK</v>
      </c>
      <c r="L225" s="8"/>
      <c r="M225" s="8"/>
    </row>
    <row r="226" customFormat="false" ht="15" hidden="false" customHeight="false" outlineLevel="0" collapsed="false">
      <c r="A226" s="5" t="s">
        <v>534</v>
      </c>
      <c r="B226" s="6" t="n">
        <v>45988</v>
      </c>
      <c r="C226" s="5" t="s">
        <v>104</v>
      </c>
      <c r="D226" s="5" t="s">
        <v>535</v>
      </c>
      <c r="E226" s="5" t="s">
        <v>106</v>
      </c>
      <c r="F226" s="7" t="n">
        <v>3229.57</v>
      </c>
      <c r="G226" s="5" t="s">
        <v>38</v>
      </c>
      <c r="H226" s="5" t="s">
        <v>39</v>
      </c>
      <c r="I226" s="5" t="s">
        <v>57</v>
      </c>
      <c r="J226" s="5"/>
      <c r="K226" s="5" t="str">
        <f aca="false">IF(D226="","",IF(COUNTIF($D$2:$D$321,D226)&gt;1,"DUPLICATE","OK"))</f>
        <v>OK</v>
      </c>
      <c r="L226" s="5"/>
      <c r="M226" s="5"/>
    </row>
    <row r="227" customFormat="false" ht="15" hidden="false" customHeight="false" outlineLevel="0" collapsed="false">
      <c r="A227" s="8" t="s">
        <v>536</v>
      </c>
      <c r="B227" s="9" t="n">
        <v>45925</v>
      </c>
      <c r="C227" s="8" t="s">
        <v>228</v>
      </c>
      <c r="D227" s="8" t="s">
        <v>537</v>
      </c>
      <c r="E227" s="8" t="s">
        <v>230</v>
      </c>
      <c r="F227" s="10" t="n">
        <v>11298.96</v>
      </c>
      <c r="G227" s="8" t="s">
        <v>62</v>
      </c>
      <c r="H227" s="8" t="s">
        <v>79</v>
      </c>
      <c r="I227" s="8" t="s">
        <v>88</v>
      </c>
      <c r="J227" s="8"/>
      <c r="K227" s="8" t="str">
        <f aca="false">IF(D227="","",IF(COUNTIF($D$2:$D$321,D227)&gt;1,"DUPLICATE","OK"))</f>
        <v>OK</v>
      </c>
      <c r="L227" s="8"/>
      <c r="M227" s="8"/>
    </row>
    <row r="228" customFormat="false" ht="15" hidden="false" customHeight="false" outlineLevel="0" collapsed="false">
      <c r="A228" s="5" t="s">
        <v>538</v>
      </c>
      <c r="B228" s="6" t="n">
        <v>45831</v>
      </c>
      <c r="C228" s="5" t="s">
        <v>65</v>
      </c>
      <c r="D228" s="5" t="s">
        <v>539</v>
      </c>
      <c r="E228" s="5" t="s">
        <v>67</v>
      </c>
      <c r="F228" s="7" t="n">
        <v>12574.06</v>
      </c>
      <c r="G228" s="5" t="s">
        <v>45</v>
      </c>
      <c r="H228" s="5" t="s">
        <v>39</v>
      </c>
      <c r="I228" s="5" t="s">
        <v>88</v>
      </c>
      <c r="J228" s="5"/>
      <c r="K228" s="5" t="str">
        <f aca="false">IF(D228="","",IF(COUNTIF($D$2:$D$321,D228)&gt;1,"DUPLICATE","OK"))</f>
        <v>OK</v>
      </c>
      <c r="L228" s="5"/>
      <c r="M228" s="5"/>
    </row>
    <row r="229" customFormat="false" ht="15" hidden="false" customHeight="false" outlineLevel="0" collapsed="false">
      <c r="A229" s="8" t="s">
        <v>540</v>
      </c>
      <c r="B229" s="9" t="n">
        <v>45706</v>
      </c>
      <c r="C229" s="8" t="s">
        <v>104</v>
      </c>
      <c r="D229" s="8" t="s">
        <v>541</v>
      </c>
      <c r="E229" s="8" t="s">
        <v>106</v>
      </c>
      <c r="F229" s="10" t="n">
        <v>10342.21</v>
      </c>
      <c r="G229" s="8" t="s">
        <v>78</v>
      </c>
      <c r="H229" s="8" t="s">
        <v>79</v>
      </c>
      <c r="I229" s="8" t="s">
        <v>88</v>
      </c>
      <c r="J229" s="8"/>
      <c r="K229" s="8" t="str">
        <f aca="false">IF(D229="","",IF(COUNTIF($D$2:$D$321,D229)&gt;1,"DUPLICATE","OK"))</f>
        <v>OK</v>
      </c>
      <c r="L229" s="8"/>
      <c r="M229" s="8"/>
    </row>
    <row r="230" customFormat="false" ht="15" hidden="false" customHeight="false" outlineLevel="0" collapsed="false">
      <c r="A230" s="5" t="s">
        <v>542</v>
      </c>
      <c r="B230" s="6" t="n">
        <v>45828</v>
      </c>
      <c r="C230" s="5" t="s">
        <v>83</v>
      </c>
      <c r="D230" s="5" t="s">
        <v>543</v>
      </c>
      <c r="E230" s="5" t="s">
        <v>85</v>
      </c>
      <c r="F230" s="7" t="n">
        <v>1549.12</v>
      </c>
      <c r="G230" s="5" t="s">
        <v>38</v>
      </c>
      <c r="H230" s="5" t="s">
        <v>79</v>
      </c>
      <c r="I230" s="5" t="s">
        <v>88</v>
      </c>
      <c r="J230" s="5"/>
      <c r="K230" s="5" t="str">
        <f aca="false">IF(D230="","",IF(COUNTIF($D$2:$D$321,D230)&gt;1,"DUPLICATE","OK"))</f>
        <v>OK</v>
      </c>
      <c r="L230" s="5"/>
      <c r="M230" s="5"/>
    </row>
    <row r="231" customFormat="false" ht="15" hidden="false" customHeight="false" outlineLevel="0" collapsed="false">
      <c r="A231" s="8" t="s">
        <v>544</v>
      </c>
      <c r="B231" s="9" t="n">
        <v>45962</v>
      </c>
      <c r="C231" s="8" t="s">
        <v>65</v>
      </c>
      <c r="D231" s="8" t="s">
        <v>545</v>
      </c>
      <c r="E231" s="8" t="s">
        <v>67</v>
      </c>
      <c r="F231" s="10" t="n">
        <v>13126.53</v>
      </c>
      <c r="G231" s="8" t="s">
        <v>45</v>
      </c>
      <c r="H231" s="8" t="s">
        <v>79</v>
      </c>
      <c r="I231" s="8" t="s">
        <v>52</v>
      </c>
      <c r="J231" s="8"/>
      <c r="K231" s="8" t="str">
        <f aca="false">IF(D231="","",IF(COUNTIF($D$2:$D$321,D231)&gt;1,"DUPLICATE","OK"))</f>
        <v>OK</v>
      </c>
      <c r="L231" s="8"/>
      <c r="M231" s="8"/>
    </row>
    <row r="232" customFormat="false" ht="15" hidden="false" customHeight="false" outlineLevel="0" collapsed="false">
      <c r="A232" s="5" t="s">
        <v>546</v>
      </c>
      <c r="B232" s="6" t="n">
        <v>45826</v>
      </c>
      <c r="C232" s="5" t="s">
        <v>65</v>
      </c>
      <c r="D232" s="5" t="s">
        <v>547</v>
      </c>
      <c r="E232" s="5" t="s">
        <v>67</v>
      </c>
      <c r="F232" s="7" t="n">
        <v>15052.33</v>
      </c>
      <c r="G232" s="5" t="s">
        <v>45</v>
      </c>
      <c r="H232" s="5" t="s">
        <v>39</v>
      </c>
      <c r="I232" s="5" t="s">
        <v>57</v>
      </c>
      <c r="J232" s="5"/>
      <c r="K232" s="5" t="str">
        <f aca="false">IF(D232="","",IF(COUNTIF($D$2:$D$321,D232)&gt;1,"DUPLICATE","OK"))</f>
        <v>OK</v>
      </c>
      <c r="L232" s="5"/>
      <c r="M232" s="5"/>
    </row>
    <row r="233" customFormat="false" ht="15" hidden="false" customHeight="false" outlineLevel="0" collapsed="false">
      <c r="A233" s="8" t="s">
        <v>548</v>
      </c>
      <c r="B233" s="9" t="n">
        <v>45667</v>
      </c>
      <c r="C233" s="8" t="s">
        <v>114</v>
      </c>
      <c r="D233" s="8" t="s">
        <v>549</v>
      </c>
      <c r="E233" s="8" t="s">
        <v>116</v>
      </c>
      <c r="F233" s="10" t="n">
        <v>6736.74</v>
      </c>
      <c r="G233" s="8" t="s">
        <v>38</v>
      </c>
      <c r="H233" s="8" t="s">
        <v>46</v>
      </c>
      <c r="I233" s="8" t="s">
        <v>88</v>
      </c>
      <c r="J233" s="8"/>
      <c r="K233" s="8" t="str">
        <f aca="false">IF(D233="","",IF(COUNTIF($D$2:$D$321,D233)&gt;1,"DUPLICATE","OK"))</f>
        <v>OK</v>
      </c>
      <c r="L233" s="8"/>
      <c r="M233" s="8"/>
    </row>
    <row r="234" customFormat="false" ht="15" hidden="false" customHeight="false" outlineLevel="0" collapsed="false">
      <c r="A234" s="5" t="s">
        <v>550</v>
      </c>
      <c r="B234" s="6" t="n">
        <v>45773</v>
      </c>
      <c r="C234" s="5" t="s">
        <v>164</v>
      </c>
      <c r="D234" s="5" t="s">
        <v>551</v>
      </c>
      <c r="E234" s="5" t="s">
        <v>166</v>
      </c>
      <c r="F234" s="7" t="n">
        <v>18499.57</v>
      </c>
      <c r="G234" s="5" t="s">
        <v>38</v>
      </c>
      <c r="H234" s="5" t="s">
        <v>63</v>
      </c>
      <c r="I234" s="5" t="s">
        <v>88</v>
      </c>
      <c r="J234" s="5"/>
      <c r="K234" s="5" t="str">
        <f aca="false">IF(D234="","",IF(COUNTIF($D$2:$D$321,D234)&gt;1,"DUPLICATE","OK"))</f>
        <v>OK</v>
      </c>
      <c r="L234" s="5"/>
      <c r="M234" s="5"/>
    </row>
    <row r="235" customFormat="false" ht="15" hidden="false" customHeight="false" outlineLevel="0" collapsed="false">
      <c r="A235" s="8" t="s">
        <v>552</v>
      </c>
      <c r="B235" s="9" t="n">
        <v>45934</v>
      </c>
      <c r="C235" s="8" t="s">
        <v>35</v>
      </c>
      <c r="D235" s="8" t="s">
        <v>553</v>
      </c>
      <c r="E235" s="8" t="s">
        <v>37</v>
      </c>
      <c r="F235" s="10" t="n">
        <v>15457.14</v>
      </c>
      <c r="G235" s="8" t="s">
        <v>45</v>
      </c>
      <c r="H235" s="8" t="s">
        <v>39</v>
      </c>
      <c r="I235" s="8" t="s">
        <v>88</v>
      </c>
      <c r="J235" s="8"/>
      <c r="K235" s="8" t="str">
        <f aca="false">IF(D235="","",IF(COUNTIF($D$2:$D$321,D235)&gt;1,"DUPLICATE","OK"))</f>
        <v>OK</v>
      </c>
      <c r="L235" s="8"/>
      <c r="M235" s="8"/>
    </row>
    <row r="236" customFormat="false" ht="15" hidden="false" customHeight="false" outlineLevel="0" collapsed="false">
      <c r="A236" s="5" t="s">
        <v>554</v>
      </c>
      <c r="B236" s="6" t="n">
        <v>45963</v>
      </c>
      <c r="C236" s="5" t="s">
        <v>83</v>
      </c>
      <c r="D236" s="5" t="s">
        <v>555</v>
      </c>
      <c r="E236" s="5" t="s">
        <v>85</v>
      </c>
      <c r="F236" s="7" t="n">
        <v>6997.37</v>
      </c>
      <c r="G236" s="5" t="s">
        <v>38</v>
      </c>
      <c r="H236" s="5" t="s">
        <v>46</v>
      </c>
      <c r="I236" s="5" t="s">
        <v>52</v>
      </c>
      <c r="J236" s="5"/>
      <c r="K236" s="5" t="str">
        <f aca="false">IF(D236="","",IF(COUNTIF($D$2:$D$321,D236)&gt;1,"DUPLICATE","OK"))</f>
        <v>OK</v>
      </c>
      <c r="L236" s="5"/>
      <c r="M236" s="5"/>
    </row>
    <row r="237" customFormat="false" ht="15" hidden="false" customHeight="false" outlineLevel="0" collapsed="false">
      <c r="A237" s="8" t="s">
        <v>556</v>
      </c>
      <c r="B237" s="9" t="n">
        <v>45680</v>
      </c>
      <c r="C237" s="8" t="s">
        <v>148</v>
      </c>
      <c r="D237" s="8" t="s">
        <v>557</v>
      </c>
      <c r="E237" s="8" t="s">
        <v>150</v>
      </c>
      <c r="F237" s="10" t="n">
        <v>7627.4</v>
      </c>
      <c r="G237" s="8" t="s">
        <v>38</v>
      </c>
      <c r="H237" s="8" t="s">
        <v>79</v>
      </c>
      <c r="I237" s="8" t="s">
        <v>52</v>
      </c>
      <c r="J237" s="8"/>
      <c r="K237" s="8" t="str">
        <f aca="false">IF(D237="","",IF(COUNTIF($D$2:$D$321,D237)&gt;1,"DUPLICATE","OK"))</f>
        <v>OK</v>
      </c>
      <c r="L237" s="8"/>
      <c r="M237" s="8"/>
    </row>
    <row r="238" customFormat="false" ht="15" hidden="false" customHeight="false" outlineLevel="0" collapsed="false">
      <c r="A238" s="5" t="s">
        <v>558</v>
      </c>
      <c r="B238" s="6" t="n">
        <v>45777</v>
      </c>
      <c r="C238" s="5" t="s">
        <v>75</v>
      </c>
      <c r="D238" s="5" t="s">
        <v>559</v>
      </c>
      <c r="E238" s="5" t="s">
        <v>77</v>
      </c>
      <c r="F238" s="7" t="n">
        <v>9900.18</v>
      </c>
      <c r="G238" s="5" t="s">
        <v>62</v>
      </c>
      <c r="H238" s="5" t="s">
        <v>79</v>
      </c>
      <c r="I238" s="5" t="s">
        <v>47</v>
      </c>
      <c r="J238" s="5"/>
      <c r="K238" s="5" t="str">
        <f aca="false">IF(D238="","",IF(COUNTIF($D$2:$D$321,D238)&gt;1,"DUPLICATE","OK"))</f>
        <v>OK</v>
      </c>
      <c r="L238" s="5"/>
      <c r="M238" s="5"/>
    </row>
    <row r="239" customFormat="false" ht="15" hidden="false" customHeight="false" outlineLevel="0" collapsed="false">
      <c r="A239" s="8" t="s">
        <v>560</v>
      </c>
      <c r="B239" s="9" t="n">
        <v>45950</v>
      </c>
      <c r="C239" s="8" t="s">
        <v>71</v>
      </c>
      <c r="D239" s="8" t="s">
        <v>561</v>
      </c>
      <c r="E239" s="8" t="s">
        <v>73</v>
      </c>
      <c r="F239" s="10" t="n">
        <v>18212.84</v>
      </c>
      <c r="G239" s="8" t="s">
        <v>78</v>
      </c>
      <c r="H239" s="8" t="s">
        <v>79</v>
      </c>
      <c r="I239" s="8" t="s">
        <v>57</v>
      </c>
      <c r="J239" s="8"/>
      <c r="K239" s="8" t="str">
        <f aca="false">IF(D239="","",IF(COUNTIF($D$2:$D$321,D239)&gt;1,"DUPLICATE","OK"))</f>
        <v>OK</v>
      </c>
      <c r="L239" s="8"/>
      <c r="M239" s="8"/>
    </row>
    <row r="240" customFormat="false" ht="15" hidden="false" customHeight="false" outlineLevel="0" collapsed="false">
      <c r="A240" s="5" t="s">
        <v>562</v>
      </c>
      <c r="B240" s="6" t="n">
        <v>45872</v>
      </c>
      <c r="C240" s="5" t="s">
        <v>114</v>
      </c>
      <c r="D240" s="5" t="s">
        <v>563</v>
      </c>
      <c r="E240" s="5" t="s">
        <v>116</v>
      </c>
      <c r="F240" s="7" t="n">
        <v>17877.48</v>
      </c>
      <c r="G240" s="5" t="s">
        <v>38</v>
      </c>
      <c r="H240" s="5" t="s">
        <v>39</v>
      </c>
      <c r="I240" s="5" t="s">
        <v>47</v>
      </c>
      <c r="J240" s="5"/>
      <c r="K240" s="5" t="str">
        <f aca="false">IF(D240="","",IF(COUNTIF($D$2:$D$321,D240)&gt;1,"DUPLICATE","OK"))</f>
        <v>OK</v>
      </c>
      <c r="L240" s="5"/>
      <c r="M240" s="5"/>
    </row>
    <row r="241" customFormat="false" ht="15" hidden="false" customHeight="false" outlineLevel="0" collapsed="false">
      <c r="A241" s="8" t="s">
        <v>564</v>
      </c>
      <c r="B241" s="9" t="n">
        <v>45986</v>
      </c>
      <c r="C241" s="8"/>
      <c r="D241" s="8" t="s">
        <v>565</v>
      </c>
      <c r="E241" s="8" t="s">
        <v>130</v>
      </c>
      <c r="F241" s="10" t="n">
        <v>8914.3</v>
      </c>
      <c r="G241" s="8" t="s">
        <v>62</v>
      </c>
      <c r="H241" s="8" t="s">
        <v>39</v>
      </c>
      <c r="I241" s="8" t="s">
        <v>40</v>
      </c>
      <c r="J241" s="8"/>
      <c r="K241" s="8" t="str">
        <f aca="false">IF(D241="","",IF(COUNTIF($D$2:$D$321,D241)&gt;1,"DUPLICATE","OK"))</f>
        <v>OK</v>
      </c>
      <c r="L241" s="8"/>
      <c r="M241" s="8"/>
    </row>
    <row r="242" customFormat="false" ht="15" hidden="false" customHeight="false" outlineLevel="0" collapsed="false">
      <c r="A242" s="5" t="s">
        <v>566</v>
      </c>
      <c r="B242" s="6" t="n">
        <v>45803</v>
      </c>
      <c r="C242" s="5" t="s">
        <v>114</v>
      </c>
      <c r="D242" s="5" t="s">
        <v>567</v>
      </c>
      <c r="E242" s="5" t="s">
        <v>116</v>
      </c>
      <c r="F242" s="7" t="n">
        <v>1592.92</v>
      </c>
      <c r="G242" s="5" t="s">
        <v>38</v>
      </c>
      <c r="H242" s="5" t="s">
        <v>79</v>
      </c>
      <c r="I242" s="5" t="s">
        <v>57</v>
      </c>
      <c r="J242" s="5"/>
      <c r="K242" s="5" t="str">
        <f aca="false">IF(D242="","",IF(COUNTIF($D$2:$D$321,D242)&gt;1,"DUPLICATE","OK"))</f>
        <v>OK</v>
      </c>
      <c r="L242" s="5"/>
      <c r="M242" s="5"/>
    </row>
    <row r="243" customFormat="false" ht="15" hidden="false" customHeight="false" outlineLevel="0" collapsed="false">
      <c r="A243" s="8" t="s">
        <v>568</v>
      </c>
      <c r="B243" s="9" t="n">
        <v>45881</v>
      </c>
      <c r="C243" s="8" t="s">
        <v>114</v>
      </c>
      <c r="D243" s="8" t="s">
        <v>569</v>
      </c>
      <c r="E243" s="8" t="s">
        <v>116</v>
      </c>
      <c r="F243" s="10" t="n">
        <v>1737.57</v>
      </c>
      <c r="G243" s="8" t="s">
        <v>38</v>
      </c>
      <c r="H243" s="8" t="s">
        <v>79</v>
      </c>
      <c r="I243" s="8" t="s">
        <v>88</v>
      </c>
      <c r="J243" s="8"/>
      <c r="K243" s="8" t="str">
        <f aca="false">IF(D243="","",IF(COUNTIF($D$2:$D$321,D243)&gt;1,"DUPLICATE","OK"))</f>
        <v>OK</v>
      </c>
      <c r="L243" s="8"/>
      <c r="M243" s="8"/>
    </row>
    <row r="244" customFormat="false" ht="15" hidden="false" customHeight="false" outlineLevel="0" collapsed="false">
      <c r="A244" s="5" t="s">
        <v>570</v>
      </c>
      <c r="B244" s="6" t="n">
        <v>45685</v>
      </c>
      <c r="C244" s="5" t="s">
        <v>120</v>
      </c>
      <c r="D244" s="5" t="s">
        <v>571</v>
      </c>
      <c r="E244" s="5" t="s">
        <v>122</v>
      </c>
      <c r="F244" s="7" t="n">
        <v>7361.56</v>
      </c>
      <c r="G244" s="5" t="s">
        <v>62</v>
      </c>
      <c r="H244" s="5" t="s">
        <v>46</v>
      </c>
      <c r="I244" s="5" t="s">
        <v>57</v>
      </c>
      <c r="J244" s="5"/>
      <c r="K244" s="5" t="str">
        <f aca="false">IF(D244="","",IF(COUNTIF($D$2:$D$321,D244)&gt;1,"DUPLICATE","OK"))</f>
        <v>OK</v>
      </c>
      <c r="L244" s="5"/>
      <c r="M244" s="5"/>
    </row>
    <row r="245" customFormat="false" ht="15" hidden="false" customHeight="false" outlineLevel="0" collapsed="false">
      <c r="A245" s="8" t="s">
        <v>572</v>
      </c>
      <c r="B245" s="9" t="n">
        <v>45772</v>
      </c>
      <c r="C245" s="8" t="s">
        <v>104</v>
      </c>
      <c r="D245" s="8" t="s">
        <v>573</v>
      </c>
      <c r="E245" s="8" t="s">
        <v>106</v>
      </c>
      <c r="F245" s="10" t="n">
        <v>565.2</v>
      </c>
      <c r="G245" s="8"/>
      <c r="H245" s="8" t="s">
        <v>39</v>
      </c>
      <c r="I245" s="8" t="s">
        <v>88</v>
      </c>
      <c r="J245" s="8"/>
      <c r="K245" s="8" t="str">
        <f aca="false">IF(D245="","",IF(COUNTIF($D$2:$D$321,D245)&gt;1,"DUPLICATE","OK"))</f>
        <v>OK</v>
      </c>
      <c r="L245" s="8"/>
      <c r="M245" s="8"/>
    </row>
    <row r="246" customFormat="false" ht="15" hidden="false" customHeight="false" outlineLevel="0" collapsed="false">
      <c r="A246" s="5" t="s">
        <v>574</v>
      </c>
      <c r="B246" s="6" t="n">
        <v>45677</v>
      </c>
      <c r="C246" s="5" t="s">
        <v>98</v>
      </c>
      <c r="D246" s="5" t="s">
        <v>575</v>
      </c>
      <c r="E246" s="5" t="s">
        <v>100</v>
      </c>
      <c r="F246" s="7"/>
      <c r="G246" s="5" t="s">
        <v>78</v>
      </c>
      <c r="H246" s="5" t="s">
        <v>39</v>
      </c>
      <c r="I246" s="5" t="s">
        <v>47</v>
      </c>
      <c r="J246" s="5"/>
      <c r="K246" s="5" t="str">
        <f aca="false">IF(D246="","",IF(COUNTIF($D$2:$D$321,D246)&gt;1,"DUPLICATE","OK"))</f>
        <v>OK</v>
      </c>
      <c r="L246" s="5"/>
      <c r="M246" s="5"/>
    </row>
    <row r="247" customFormat="false" ht="15" hidden="false" customHeight="false" outlineLevel="0" collapsed="false">
      <c r="A247" s="8" t="s">
        <v>576</v>
      </c>
      <c r="B247" s="9" t="n">
        <v>45973</v>
      </c>
      <c r="C247" s="8" t="s">
        <v>164</v>
      </c>
      <c r="D247" s="8" t="s">
        <v>577</v>
      </c>
      <c r="E247" s="8" t="s">
        <v>166</v>
      </c>
      <c r="F247" s="10" t="n">
        <v>141.91</v>
      </c>
      <c r="G247" s="8" t="s">
        <v>45</v>
      </c>
      <c r="H247" s="8" t="s">
        <v>46</v>
      </c>
      <c r="I247" s="8" t="s">
        <v>88</v>
      </c>
      <c r="J247" s="8"/>
      <c r="K247" s="8" t="str">
        <f aca="false">IF(D247="","",IF(COUNTIF($D$2:$D$321,D247)&gt;1,"DUPLICATE","OK"))</f>
        <v>OK</v>
      </c>
      <c r="L247" s="8"/>
      <c r="M247" s="8"/>
    </row>
    <row r="248" customFormat="false" ht="15" hidden="false" customHeight="false" outlineLevel="0" collapsed="false">
      <c r="A248" s="5" t="s">
        <v>578</v>
      </c>
      <c r="B248" s="6" t="n">
        <v>45938</v>
      </c>
      <c r="C248" s="5" t="s">
        <v>94</v>
      </c>
      <c r="D248" s="5" t="s">
        <v>579</v>
      </c>
      <c r="E248" s="5" t="s">
        <v>96</v>
      </c>
      <c r="F248" s="7" t="n">
        <v>17396.87</v>
      </c>
      <c r="G248" s="5" t="s">
        <v>78</v>
      </c>
      <c r="H248" s="5" t="s">
        <v>46</v>
      </c>
      <c r="I248" s="5" t="s">
        <v>88</v>
      </c>
      <c r="J248" s="5"/>
      <c r="K248" s="5" t="str">
        <f aca="false">IF(D248="","",IF(COUNTIF($D$2:$D$321,D248)&gt;1,"DUPLICATE","OK"))</f>
        <v>OK</v>
      </c>
      <c r="L248" s="5"/>
      <c r="M248" s="5"/>
    </row>
    <row r="249" customFormat="false" ht="15" hidden="false" customHeight="false" outlineLevel="0" collapsed="false">
      <c r="A249" s="8" t="s">
        <v>580</v>
      </c>
      <c r="B249" s="9" t="n">
        <v>45720</v>
      </c>
      <c r="C249" s="8" t="s">
        <v>49</v>
      </c>
      <c r="D249" s="8" t="s">
        <v>581</v>
      </c>
      <c r="E249" s="8" t="s">
        <v>51</v>
      </c>
      <c r="F249" s="10" t="n">
        <v>926.22</v>
      </c>
      <c r="G249" s="8" t="s">
        <v>78</v>
      </c>
      <c r="H249" s="8" t="s">
        <v>39</v>
      </c>
      <c r="I249" s="8" t="s">
        <v>52</v>
      </c>
      <c r="J249" s="8"/>
      <c r="K249" s="8" t="str">
        <f aca="false">IF(D249="","",IF(COUNTIF($D$2:$D$321,D249)&gt;1,"DUPLICATE","OK"))</f>
        <v>OK</v>
      </c>
      <c r="L249" s="8"/>
      <c r="M249" s="8"/>
    </row>
    <row r="250" customFormat="false" ht="15" hidden="false" customHeight="false" outlineLevel="0" collapsed="false">
      <c r="A250" s="5" t="s">
        <v>582</v>
      </c>
      <c r="B250" s="6" t="n">
        <v>45714</v>
      </c>
      <c r="C250" s="5" t="s">
        <v>228</v>
      </c>
      <c r="D250" s="5" t="s">
        <v>583</v>
      </c>
      <c r="E250" s="5" t="s">
        <v>230</v>
      </c>
      <c r="F250" s="7" t="n">
        <v>15486.07</v>
      </c>
      <c r="G250" s="5" t="s">
        <v>78</v>
      </c>
      <c r="H250" s="5" t="s">
        <v>39</v>
      </c>
      <c r="I250" s="5" t="s">
        <v>52</v>
      </c>
      <c r="J250" s="5"/>
      <c r="K250" s="5" t="str">
        <f aca="false">IF(D250="","",IF(COUNTIF($D$2:$D$321,D250)&gt;1,"DUPLICATE","OK"))</f>
        <v>OK</v>
      </c>
      <c r="L250" s="5"/>
      <c r="M250" s="5"/>
    </row>
    <row r="251" customFormat="false" ht="15" hidden="false" customHeight="false" outlineLevel="0" collapsed="false">
      <c r="A251" s="8" t="s">
        <v>584</v>
      </c>
      <c r="B251" s="9" t="n">
        <v>45921</v>
      </c>
      <c r="C251" s="8" t="s">
        <v>120</v>
      </c>
      <c r="D251" s="8" t="s">
        <v>585</v>
      </c>
      <c r="E251" s="8" t="s">
        <v>122</v>
      </c>
      <c r="F251" s="10" t="n">
        <v>10657.5</v>
      </c>
      <c r="G251" s="8" t="s">
        <v>38</v>
      </c>
      <c r="H251" s="8" t="s">
        <v>79</v>
      </c>
      <c r="I251" s="8" t="s">
        <v>57</v>
      </c>
      <c r="J251" s="8"/>
      <c r="K251" s="8" t="str">
        <f aca="false">IF(D251="","",IF(COUNTIF($D$2:$D$321,D251)&gt;1,"DUPLICATE","OK"))</f>
        <v>OK</v>
      </c>
      <c r="L251" s="8"/>
      <c r="M251" s="8"/>
    </row>
    <row r="252" customFormat="false" ht="15" hidden="false" customHeight="false" outlineLevel="0" collapsed="false">
      <c r="A252" s="5" t="s">
        <v>586</v>
      </c>
      <c r="B252" s="6" t="n">
        <v>45838</v>
      </c>
      <c r="C252" s="5" t="s">
        <v>120</v>
      </c>
      <c r="D252" s="5" t="s">
        <v>587</v>
      </c>
      <c r="E252" s="5" t="s">
        <v>122</v>
      </c>
      <c r="F252" s="7" t="n">
        <v>4484.61</v>
      </c>
      <c r="G252" s="5" t="s">
        <v>78</v>
      </c>
      <c r="H252" s="5" t="s">
        <v>46</v>
      </c>
      <c r="I252" s="5" t="s">
        <v>40</v>
      </c>
      <c r="J252" s="5"/>
      <c r="K252" s="5" t="str">
        <f aca="false">IF(D252="","",IF(COUNTIF($D$2:$D$321,D252)&gt;1,"DUPLICATE","OK"))</f>
        <v>OK</v>
      </c>
      <c r="L252" s="5"/>
      <c r="M252" s="5"/>
    </row>
    <row r="253" customFormat="false" ht="15" hidden="false" customHeight="false" outlineLevel="0" collapsed="false">
      <c r="A253" s="8" t="s">
        <v>588</v>
      </c>
      <c r="B253" s="9" t="n">
        <v>45692</v>
      </c>
      <c r="C253" s="8" t="s">
        <v>114</v>
      </c>
      <c r="D253" s="8" t="s">
        <v>589</v>
      </c>
      <c r="E253" s="8" t="s">
        <v>116</v>
      </c>
      <c r="F253" s="10" t="n">
        <v>17640.06</v>
      </c>
      <c r="G253" s="8" t="s">
        <v>45</v>
      </c>
      <c r="H253" s="8" t="s">
        <v>79</v>
      </c>
      <c r="I253" s="8" t="s">
        <v>57</v>
      </c>
      <c r="J253" s="8"/>
      <c r="K253" s="8" t="str">
        <f aca="false">IF(D253="","",IF(COUNTIF($D$2:$D$321,D253)&gt;1,"DUPLICATE","OK"))</f>
        <v>OK</v>
      </c>
      <c r="L253" s="8"/>
      <c r="M253" s="8"/>
    </row>
    <row r="254" customFormat="false" ht="15" hidden="false" customHeight="false" outlineLevel="0" collapsed="false">
      <c r="A254" s="5" t="s">
        <v>590</v>
      </c>
      <c r="B254" s="6" t="n">
        <v>45856</v>
      </c>
      <c r="C254" s="5" t="s">
        <v>591</v>
      </c>
      <c r="D254" s="5" t="s">
        <v>592</v>
      </c>
      <c r="E254" s="5" t="s">
        <v>92</v>
      </c>
      <c r="F254" s="7" t="n">
        <v>18150.08</v>
      </c>
      <c r="G254" s="5" t="s">
        <v>62</v>
      </c>
      <c r="H254" s="5" t="s">
        <v>39</v>
      </c>
      <c r="I254" s="5" t="s">
        <v>40</v>
      </c>
      <c r="J254" s="5"/>
      <c r="K254" s="5" t="str">
        <f aca="false">IF(D254="","",IF(COUNTIF($D$2:$D$321,D254)&gt;1,"DUPLICATE","OK"))</f>
        <v>OK</v>
      </c>
      <c r="L254" s="5"/>
      <c r="M254" s="5"/>
    </row>
    <row r="255" customFormat="false" ht="15" hidden="false" customHeight="false" outlineLevel="0" collapsed="false">
      <c r="A255" s="8" t="s">
        <v>593</v>
      </c>
      <c r="B255" s="9" t="n">
        <v>45834</v>
      </c>
      <c r="C255" s="8" t="s">
        <v>71</v>
      </c>
      <c r="D255" s="8" t="s">
        <v>594</v>
      </c>
      <c r="E255" s="8" t="s">
        <v>73</v>
      </c>
      <c r="F255" s="10"/>
      <c r="G255" s="8" t="s">
        <v>45</v>
      </c>
      <c r="H255" s="8" t="s">
        <v>39</v>
      </c>
      <c r="I255" s="8" t="s">
        <v>88</v>
      </c>
      <c r="J255" s="8"/>
      <c r="K255" s="8" t="str">
        <f aca="false">IF(D255="","",IF(COUNTIF($D$2:$D$321,D255)&gt;1,"DUPLICATE","OK"))</f>
        <v>OK</v>
      </c>
      <c r="L255" s="8"/>
      <c r="M255" s="8"/>
    </row>
    <row r="256" customFormat="false" ht="15" hidden="false" customHeight="false" outlineLevel="0" collapsed="false">
      <c r="A256" s="5" t="s">
        <v>595</v>
      </c>
      <c r="B256" s="6" t="n">
        <v>45838</v>
      </c>
      <c r="C256" s="5" t="s">
        <v>98</v>
      </c>
      <c r="D256" s="5" t="s">
        <v>596</v>
      </c>
      <c r="E256" s="5" t="s">
        <v>100</v>
      </c>
      <c r="F256" s="7" t="n">
        <v>10121.68</v>
      </c>
      <c r="G256" s="5" t="s">
        <v>38</v>
      </c>
      <c r="H256" s="5" t="s">
        <v>39</v>
      </c>
      <c r="I256" s="5" t="s">
        <v>57</v>
      </c>
      <c r="J256" s="5"/>
      <c r="K256" s="5" t="str">
        <f aca="false">IF(D256="","",IF(COUNTIF($D$2:$D$321,D256)&gt;1,"DUPLICATE","OK"))</f>
        <v>OK</v>
      </c>
      <c r="L256" s="5"/>
      <c r="M256" s="5"/>
    </row>
    <row r="257" customFormat="false" ht="15" hidden="false" customHeight="false" outlineLevel="0" collapsed="false">
      <c r="A257" s="8" t="s">
        <v>597</v>
      </c>
      <c r="B257" s="9" t="n">
        <v>45751</v>
      </c>
      <c r="C257" s="8" t="s">
        <v>164</v>
      </c>
      <c r="D257" s="8" t="s">
        <v>598</v>
      </c>
      <c r="E257" s="8" t="s">
        <v>166</v>
      </c>
      <c r="F257" s="10" t="n">
        <v>15021.19</v>
      </c>
      <c r="G257" s="8" t="s">
        <v>45</v>
      </c>
      <c r="H257" s="8" t="s">
        <v>39</v>
      </c>
      <c r="I257" s="8" t="s">
        <v>57</v>
      </c>
      <c r="J257" s="8"/>
      <c r="K257" s="8" t="str">
        <f aca="false">IF(D257="","",IF(COUNTIF($D$2:$D$321,D257)&gt;1,"DUPLICATE","OK"))</f>
        <v>OK</v>
      </c>
      <c r="L257" s="8"/>
      <c r="M257" s="8"/>
    </row>
    <row r="258" customFormat="false" ht="15" hidden="false" customHeight="false" outlineLevel="0" collapsed="false">
      <c r="A258" s="5" t="s">
        <v>599</v>
      </c>
      <c r="B258" s="6" t="n">
        <v>45761</v>
      </c>
      <c r="C258" s="5" t="s">
        <v>90</v>
      </c>
      <c r="D258" s="5" t="s">
        <v>600</v>
      </c>
      <c r="E258" s="5" t="s">
        <v>92</v>
      </c>
      <c r="F258" s="7" t="n">
        <v>853.44</v>
      </c>
      <c r="G258" s="5" t="s">
        <v>38</v>
      </c>
      <c r="H258" s="5" t="s">
        <v>46</v>
      </c>
      <c r="I258" s="5" t="s">
        <v>88</v>
      </c>
      <c r="J258" s="5"/>
      <c r="K258" s="5" t="str">
        <f aca="false">IF(D258="","",IF(COUNTIF($D$2:$D$321,D258)&gt;1,"DUPLICATE","OK"))</f>
        <v>OK</v>
      </c>
      <c r="L258" s="5"/>
      <c r="M258" s="5"/>
    </row>
    <row r="259" customFormat="false" ht="15" hidden="false" customHeight="false" outlineLevel="0" collapsed="false">
      <c r="A259" s="8" t="s">
        <v>601</v>
      </c>
      <c r="B259" s="9" t="n">
        <v>45861</v>
      </c>
      <c r="C259" s="8" t="s">
        <v>75</v>
      </c>
      <c r="D259" s="8" t="s">
        <v>602</v>
      </c>
      <c r="E259" s="8" t="s">
        <v>77</v>
      </c>
      <c r="F259" s="10" t="n">
        <v>18299.26</v>
      </c>
      <c r="G259" s="8" t="s">
        <v>78</v>
      </c>
      <c r="H259" s="8" t="s">
        <v>79</v>
      </c>
      <c r="I259" s="8" t="s">
        <v>40</v>
      </c>
      <c r="J259" s="8"/>
      <c r="K259" s="8" t="str">
        <f aca="false">IF(D259="","",IF(COUNTIF($D$2:$D$321,D259)&gt;1,"DUPLICATE","OK"))</f>
        <v>OK</v>
      </c>
      <c r="L259" s="8"/>
      <c r="M259" s="8"/>
    </row>
    <row r="260" customFormat="false" ht="15" hidden="false" customHeight="false" outlineLevel="0" collapsed="false">
      <c r="A260" s="5" t="s">
        <v>603</v>
      </c>
      <c r="B260" s="6" t="n">
        <v>45840</v>
      </c>
      <c r="C260" s="5" t="s">
        <v>94</v>
      </c>
      <c r="D260" s="5" t="s">
        <v>604</v>
      </c>
      <c r="E260" s="5"/>
      <c r="F260" s="7" t="n">
        <v>15955.77</v>
      </c>
      <c r="G260" s="5" t="s">
        <v>45</v>
      </c>
      <c r="H260" s="5" t="s">
        <v>39</v>
      </c>
      <c r="I260" s="5" t="s">
        <v>88</v>
      </c>
      <c r="J260" s="5"/>
      <c r="K260" s="5" t="str">
        <f aca="false">IF(D260="","",IF(COUNTIF($D$2:$D$321,D260)&gt;1,"DUPLICATE","OK"))</f>
        <v>OK</v>
      </c>
      <c r="L260" s="5"/>
      <c r="M260" s="5"/>
    </row>
    <row r="261" customFormat="false" ht="15" hidden="false" customHeight="false" outlineLevel="0" collapsed="false">
      <c r="A261" s="8" t="s">
        <v>605</v>
      </c>
      <c r="B261" s="9" t="n">
        <v>45846</v>
      </c>
      <c r="C261" s="8" t="s">
        <v>128</v>
      </c>
      <c r="D261" s="8" t="s">
        <v>381</v>
      </c>
      <c r="E261" s="8" t="s">
        <v>130</v>
      </c>
      <c r="F261" s="10" t="n">
        <v>8108.94</v>
      </c>
      <c r="G261" s="8" t="s">
        <v>78</v>
      </c>
      <c r="H261" s="8" t="s">
        <v>39</v>
      </c>
      <c r="I261" s="8" t="s">
        <v>57</v>
      </c>
      <c r="J261" s="8"/>
      <c r="K261" s="8" t="str">
        <f aca="false">IF(D261="","",IF(COUNTIF($D$2:$D$321,D261)&gt;1,"DUPLICATE","OK"))</f>
        <v>DUPLICATE</v>
      </c>
      <c r="L261" s="8"/>
      <c r="M261" s="8"/>
    </row>
    <row r="262" customFormat="false" ht="15" hidden="false" customHeight="false" outlineLevel="0" collapsed="false">
      <c r="A262" s="5" t="s">
        <v>606</v>
      </c>
      <c r="B262" s="6" t="n">
        <v>45753</v>
      </c>
      <c r="C262" s="5" t="s">
        <v>65</v>
      </c>
      <c r="D262" s="5" t="s">
        <v>607</v>
      </c>
      <c r="E262" s="5" t="s">
        <v>67</v>
      </c>
      <c r="F262" s="7" t="n">
        <v>9202.43</v>
      </c>
      <c r="G262" s="5" t="s">
        <v>78</v>
      </c>
      <c r="H262" s="5" t="s">
        <v>79</v>
      </c>
      <c r="I262" s="5" t="s">
        <v>52</v>
      </c>
      <c r="J262" s="5"/>
      <c r="K262" s="5" t="str">
        <f aca="false">IF(D262="","",IF(COUNTIF($D$2:$D$321,D262)&gt;1,"DUPLICATE","OK"))</f>
        <v>OK</v>
      </c>
      <c r="L262" s="5"/>
      <c r="M262" s="5"/>
    </row>
    <row r="263" customFormat="false" ht="15" hidden="false" customHeight="false" outlineLevel="0" collapsed="false">
      <c r="A263" s="8" t="s">
        <v>608</v>
      </c>
      <c r="B263" s="9" t="n">
        <v>45875</v>
      </c>
      <c r="C263" s="8" t="s">
        <v>128</v>
      </c>
      <c r="D263" s="8" t="s">
        <v>609</v>
      </c>
      <c r="E263" s="8" t="s">
        <v>130</v>
      </c>
      <c r="F263" s="10" t="n">
        <v>1501.6</v>
      </c>
      <c r="G263" s="8" t="s">
        <v>38</v>
      </c>
      <c r="H263" s="8" t="s">
        <v>39</v>
      </c>
      <c r="I263" s="8" t="s">
        <v>88</v>
      </c>
      <c r="J263" s="8"/>
      <c r="K263" s="8" t="str">
        <f aca="false">IF(D263="","",IF(COUNTIF($D$2:$D$321,D263)&gt;1,"DUPLICATE","OK"))</f>
        <v>OK</v>
      </c>
      <c r="L263" s="8"/>
      <c r="M263" s="8"/>
    </row>
    <row r="264" customFormat="false" ht="15" hidden="false" customHeight="false" outlineLevel="0" collapsed="false">
      <c r="A264" s="5" t="s">
        <v>610</v>
      </c>
      <c r="B264" s="6" t="n">
        <v>45698</v>
      </c>
      <c r="C264" s="5" t="s">
        <v>59</v>
      </c>
      <c r="D264" s="5" t="s">
        <v>611</v>
      </c>
      <c r="E264" s="5" t="s">
        <v>61</v>
      </c>
      <c r="F264" s="7" t="n">
        <v>6096.76</v>
      </c>
      <c r="G264" s="5" t="s">
        <v>62</v>
      </c>
      <c r="H264" s="5" t="s">
        <v>79</v>
      </c>
      <c r="I264" s="5" t="s">
        <v>57</v>
      </c>
      <c r="J264" s="5"/>
      <c r="K264" s="5" t="str">
        <f aca="false">IF(D264="","",IF(COUNTIF($D$2:$D$321,D264)&gt;1,"DUPLICATE","OK"))</f>
        <v>OK</v>
      </c>
      <c r="L264" s="5"/>
      <c r="M264" s="5"/>
    </row>
    <row r="265" customFormat="false" ht="15" hidden="false" customHeight="false" outlineLevel="0" collapsed="false">
      <c r="A265" s="8" t="s">
        <v>612</v>
      </c>
      <c r="B265" s="9" t="n">
        <v>45743</v>
      </c>
      <c r="C265" s="8" t="s">
        <v>83</v>
      </c>
      <c r="D265" s="8" t="s">
        <v>613</v>
      </c>
      <c r="E265" s="8" t="s">
        <v>85</v>
      </c>
      <c r="F265" s="10" t="n">
        <v>12774.61</v>
      </c>
      <c r="G265" s="8" t="s">
        <v>62</v>
      </c>
      <c r="H265" s="8" t="s">
        <v>79</v>
      </c>
      <c r="I265" s="8" t="s">
        <v>40</v>
      </c>
      <c r="J265" s="8"/>
      <c r="K265" s="8" t="str">
        <f aca="false">IF(D265="","",IF(COUNTIF($D$2:$D$321,D265)&gt;1,"DUPLICATE","OK"))</f>
        <v>OK</v>
      </c>
      <c r="L265" s="8"/>
      <c r="M265" s="8"/>
    </row>
    <row r="266" customFormat="false" ht="15" hidden="false" customHeight="false" outlineLevel="0" collapsed="false">
      <c r="A266" s="5" t="s">
        <v>614</v>
      </c>
      <c r="B266" s="6" t="n">
        <v>45880</v>
      </c>
      <c r="C266" s="5" t="s">
        <v>71</v>
      </c>
      <c r="D266" s="5" t="s">
        <v>615</v>
      </c>
      <c r="E266" s="5" t="s">
        <v>73</v>
      </c>
      <c r="F266" s="7" t="n">
        <v>5111.92</v>
      </c>
      <c r="G266" s="5" t="s">
        <v>45</v>
      </c>
      <c r="H266" s="5" t="s">
        <v>46</v>
      </c>
      <c r="I266" s="5" t="s">
        <v>57</v>
      </c>
      <c r="J266" s="5"/>
      <c r="K266" s="5" t="str">
        <f aca="false">IF(D266="","",IF(COUNTIF($D$2:$D$321,D266)&gt;1,"DUPLICATE","OK"))</f>
        <v>OK</v>
      </c>
      <c r="L266" s="5"/>
      <c r="M266" s="5"/>
    </row>
    <row r="267" customFormat="false" ht="15" hidden="false" customHeight="false" outlineLevel="0" collapsed="false">
      <c r="A267" s="8" t="s">
        <v>616</v>
      </c>
      <c r="B267" s="9" t="n">
        <v>46005</v>
      </c>
      <c r="C267" s="8" t="s">
        <v>71</v>
      </c>
      <c r="D267" s="8" t="s">
        <v>617</v>
      </c>
      <c r="E267" s="8" t="s">
        <v>73</v>
      </c>
      <c r="F267" s="10" t="n">
        <v>2997.56</v>
      </c>
      <c r="G267" s="8" t="s">
        <v>45</v>
      </c>
      <c r="H267" s="8" t="s">
        <v>46</v>
      </c>
      <c r="I267" s="8" t="s">
        <v>52</v>
      </c>
      <c r="J267" s="8"/>
      <c r="K267" s="8" t="str">
        <f aca="false">IF(D267="","",IF(COUNTIF($D$2:$D$321,D267)&gt;1,"DUPLICATE","OK"))</f>
        <v>OK</v>
      </c>
      <c r="L267" s="8"/>
      <c r="M267" s="8"/>
    </row>
    <row r="268" customFormat="false" ht="15" hidden="false" customHeight="false" outlineLevel="0" collapsed="false">
      <c r="A268" s="5" t="s">
        <v>618</v>
      </c>
      <c r="B268" s="6" t="n">
        <v>45722</v>
      </c>
      <c r="C268" s="5" t="s">
        <v>228</v>
      </c>
      <c r="D268" s="5" t="s">
        <v>619</v>
      </c>
      <c r="E268" s="5" t="s">
        <v>230</v>
      </c>
      <c r="F268" s="7" t="n">
        <v>1285.79</v>
      </c>
      <c r="G268" s="5" t="s">
        <v>62</v>
      </c>
      <c r="H268" s="5" t="s">
        <v>79</v>
      </c>
      <c r="I268" s="5" t="s">
        <v>57</v>
      </c>
      <c r="J268" s="5"/>
      <c r="K268" s="5" t="str">
        <f aca="false">IF(D268="","",IF(COUNTIF($D$2:$D$321,D268)&gt;1,"DUPLICATE","OK"))</f>
        <v>OK</v>
      </c>
      <c r="L268" s="5"/>
      <c r="M268" s="5"/>
    </row>
    <row r="269" customFormat="false" ht="15" hidden="false" customHeight="false" outlineLevel="0" collapsed="false">
      <c r="A269" s="8" t="s">
        <v>620</v>
      </c>
      <c r="B269" s="9" t="n">
        <v>45967</v>
      </c>
      <c r="C269" s="8" t="s">
        <v>160</v>
      </c>
      <c r="D269" s="8" t="s">
        <v>621</v>
      </c>
      <c r="E269" s="8" t="s">
        <v>162</v>
      </c>
      <c r="F269" s="10" t="n">
        <v>2876.7</v>
      </c>
      <c r="G269" s="8" t="s">
        <v>78</v>
      </c>
      <c r="H269" s="8" t="s">
        <v>79</v>
      </c>
      <c r="I269" s="8" t="s">
        <v>88</v>
      </c>
      <c r="J269" s="8"/>
      <c r="K269" s="8" t="str">
        <f aca="false">IF(D269="","",IF(COUNTIF($D$2:$D$321,D269)&gt;1,"DUPLICATE","OK"))</f>
        <v>OK</v>
      </c>
      <c r="L269" s="8"/>
      <c r="M269" s="8"/>
    </row>
    <row r="270" customFormat="false" ht="15" hidden="false" customHeight="false" outlineLevel="0" collapsed="false">
      <c r="A270" s="5" t="s">
        <v>622</v>
      </c>
      <c r="B270" s="6" t="n">
        <v>45951</v>
      </c>
      <c r="C270" s="5" t="s">
        <v>228</v>
      </c>
      <c r="D270" s="5" t="s">
        <v>623</v>
      </c>
      <c r="E270" s="5" t="s">
        <v>230</v>
      </c>
      <c r="F270" s="7" t="n">
        <v>2586.16</v>
      </c>
      <c r="G270" s="5" t="s">
        <v>62</v>
      </c>
      <c r="H270" s="5" t="s">
        <v>79</v>
      </c>
      <c r="I270" s="5" t="s">
        <v>88</v>
      </c>
      <c r="J270" s="5"/>
      <c r="K270" s="5" t="str">
        <f aca="false">IF(D270="","",IF(COUNTIF($D$2:$D$321,D270)&gt;1,"DUPLICATE","OK"))</f>
        <v>OK</v>
      </c>
      <c r="L270" s="5"/>
      <c r="M270" s="5"/>
    </row>
    <row r="271" customFormat="false" ht="15" hidden="false" customHeight="false" outlineLevel="0" collapsed="false">
      <c r="A271" s="8" t="s">
        <v>624</v>
      </c>
      <c r="B271" s="9" t="n">
        <v>45716</v>
      </c>
      <c r="C271" s="8" t="s">
        <v>128</v>
      </c>
      <c r="D271" s="8" t="s">
        <v>625</v>
      </c>
      <c r="E271" s="8" t="s">
        <v>130</v>
      </c>
      <c r="F271" s="10" t="n">
        <v>523.23</v>
      </c>
      <c r="G271" s="8" t="s">
        <v>38</v>
      </c>
      <c r="H271" s="8" t="s">
        <v>79</v>
      </c>
      <c r="I271" s="8" t="s">
        <v>52</v>
      </c>
      <c r="J271" s="8"/>
      <c r="K271" s="8" t="str">
        <f aca="false">IF(D271="","",IF(COUNTIF($D$2:$D$321,D271)&gt;1,"DUPLICATE","OK"))</f>
        <v>OK</v>
      </c>
      <c r="L271" s="8"/>
      <c r="M271" s="8"/>
    </row>
    <row r="272" customFormat="false" ht="15" hidden="false" customHeight="false" outlineLevel="0" collapsed="false">
      <c r="A272" s="5" t="s">
        <v>626</v>
      </c>
      <c r="B272" s="6" t="n">
        <v>45718</v>
      </c>
      <c r="C272" s="5" t="s">
        <v>65</v>
      </c>
      <c r="D272" s="5" t="s">
        <v>627</v>
      </c>
      <c r="E272" s="5" t="s">
        <v>67</v>
      </c>
      <c r="F272" s="7" t="n">
        <v>4876.09</v>
      </c>
      <c r="G272" s="5" t="s">
        <v>62</v>
      </c>
      <c r="H272" s="5" t="s">
        <v>39</v>
      </c>
      <c r="I272" s="5" t="s">
        <v>57</v>
      </c>
      <c r="J272" s="5"/>
      <c r="K272" s="5" t="str">
        <f aca="false">IF(D272="","",IF(COUNTIF($D$2:$D$321,D272)&gt;1,"DUPLICATE","OK"))</f>
        <v>OK</v>
      </c>
      <c r="L272" s="5"/>
      <c r="M272" s="5"/>
    </row>
    <row r="273" customFormat="false" ht="15" hidden="false" customHeight="false" outlineLevel="0" collapsed="false">
      <c r="A273" s="8" t="s">
        <v>628</v>
      </c>
      <c r="B273" s="9" t="n">
        <v>45804</v>
      </c>
      <c r="C273" s="8" t="s">
        <v>94</v>
      </c>
      <c r="D273" s="8" t="s">
        <v>629</v>
      </c>
      <c r="E273" s="8" t="s">
        <v>96</v>
      </c>
      <c r="F273" s="10" t="n">
        <v>12852.41</v>
      </c>
      <c r="G273" s="8" t="s">
        <v>78</v>
      </c>
      <c r="H273" s="8" t="s">
        <v>46</v>
      </c>
      <c r="I273" s="8" t="s">
        <v>40</v>
      </c>
      <c r="J273" s="8"/>
      <c r="K273" s="8" t="str">
        <f aca="false">IF(D273="","",IF(COUNTIF($D$2:$D$321,D273)&gt;1,"DUPLICATE","OK"))</f>
        <v>OK</v>
      </c>
      <c r="L273" s="8"/>
      <c r="M273" s="8"/>
    </row>
    <row r="274" customFormat="false" ht="15" hidden="false" customHeight="false" outlineLevel="0" collapsed="false">
      <c r="A274" s="5" t="s">
        <v>630</v>
      </c>
      <c r="B274" s="6" t="n">
        <v>45889</v>
      </c>
      <c r="C274" s="5" t="s">
        <v>98</v>
      </c>
      <c r="D274" s="5" t="s">
        <v>631</v>
      </c>
      <c r="E274" s="5" t="s">
        <v>100</v>
      </c>
      <c r="F274" s="7" t="n">
        <v>3231.37</v>
      </c>
      <c r="G274" s="5" t="s">
        <v>78</v>
      </c>
      <c r="H274" s="5" t="s">
        <v>46</v>
      </c>
      <c r="I274" s="5" t="s">
        <v>88</v>
      </c>
      <c r="J274" s="5"/>
      <c r="K274" s="5" t="str">
        <f aca="false">IF(D274="","",IF(COUNTIF($D$2:$D$321,D274)&gt;1,"DUPLICATE","OK"))</f>
        <v>OK</v>
      </c>
      <c r="L274" s="5"/>
      <c r="M274" s="5"/>
    </row>
    <row r="275" customFormat="false" ht="15" hidden="false" customHeight="false" outlineLevel="0" collapsed="false">
      <c r="A275" s="8" t="s">
        <v>632</v>
      </c>
      <c r="B275" s="9" t="n">
        <v>45939</v>
      </c>
      <c r="C275" s="8" t="s">
        <v>71</v>
      </c>
      <c r="D275" s="8" t="s">
        <v>633</v>
      </c>
      <c r="E275" s="8" t="s">
        <v>73</v>
      </c>
      <c r="F275" s="10" t="n">
        <v>10050.77</v>
      </c>
      <c r="G275" s="8" t="s">
        <v>62</v>
      </c>
      <c r="H275" s="8" t="s">
        <v>46</v>
      </c>
      <c r="I275" s="8" t="s">
        <v>47</v>
      </c>
      <c r="J275" s="8"/>
      <c r="K275" s="8" t="str">
        <f aca="false">IF(D275="","",IF(COUNTIF($D$2:$D$321,D275)&gt;1,"DUPLICATE","OK"))</f>
        <v>OK</v>
      </c>
      <c r="L275" s="8"/>
      <c r="M275" s="8"/>
    </row>
    <row r="276" customFormat="false" ht="15" hidden="false" customHeight="false" outlineLevel="0" collapsed="false">
      <c r="A276" s="5" t="s">
        <v>634</v>
      </c>
      <c r="B276" s="6" t="n">
        <v>45772</v>
      </c>
      <c r="C276" s="5" t="s">
        <v>71</v>
      </c>
      <c r="D276" s="5" t="s">
        <v>635</v>
      </c>
      <c r="E276" s="5" t="s">
        <v>73</v>
      </c>
      <c r="F276" s="7" t="n">
        <v>2284.74</v>
      </c>
      <c r="G276" s="5" t="s">
        <v>38</v>
      </c>
      <c r="H276" s="5" t="s">
        <v>46</v>
      </c>
      <c r="I276" s="5" t="s">
        <v>47</v>
      </c>
      <c r="J276" s="5"/>
      <c r="K276" s="5" t="str">
        <f aca="false">IF(D276="","",IF(COUNTIF($D$2:$D$321,D276)&gt;1,"DUPLICATE","OK"))</f>
        <v>OK</v>
      </c>
      <c r="L276" s="5"/>
      <c r="M276" s="5"/>
    </row>
    <row r="277" customFormat="false" ht="15" hidden="false" customHeight="false" outlineLevel="0" collapsed="false">
      <c r="A277" s="8" t="s">
        <v>636</v>
      </c>
      <c r="B277" s="9" t="n">
        <v>45842</v>
      </c>
      <c r="C277" s="8" t="s">
        <v>164</v>
      </c>
      <c r="D277" s="8" t="s">
        <v>523</v>
      </c>
      <c r="E277" s="8" t="s">
        <v>166</v>
      </c>
      <c r="F277" s="10" t="n">
        <v>10269.47</v>
      </c>
      <c r="G277" s="8" t="s">
        <v>62</v>
      </c>
      <c r="H277" s="8" t="s">
        <v>79</v>
      </c>
      <c r="I277" s="8" t="s">
        <v>52</v>
      </c>
      <c r="J277" s="8"/>
      <c r="K277" s="8" t="str">
        <f aca="false">IF(D277="","",IF(COUNTIF($D$2:$D$321,D277)&gt;1,"DUPLICATE","OK"))</f>
        <v>DUPLICATE</v>
      </c>
      <c r="L277" s="8"/>
      <c r="M277" s="8"/>
    </row>
    <row r="278" customFormat="false" ht="15" hidden="false" customHeight="false" outlineLevel="0" collapsed="false">
      <c r="A278" s="5" t="s">
        <v>637</v>
      </c>
      <c r="B278" s="6" t="n">
        <v>45702</v>
      </c>
      <c r="C278" s="5" t="s">
        <v>98</v>
      </c>
      <c r="D278" s="5" t="s">
        <v>638</v>
      </c>
      <c r="E278" s="5" t="s">
        <v>100</v>
      </c>
      <c r="F278" s="7" t="n">
        <v>1258.38</v>
      </c>
      <c r="G278" s="5" t="s">
        <v>78</v>
      </c>
      <c r="H278" s="5" t="s">
        <v>39</v>
      </c>
      <c r="I278" s="5" t="s">
        <v>57</v>
      </c>
      <c r="J278" s="5"/>
      <c r="K278" s="5" t="str">
        <f aca="false">IF(D278="","",IF(COUNTIF($D$2:$D$321,D278)&gt;1,"DUPLICATE","OK"))</f>
        <v>OK</v>
      </c>
      <c r="L278" s="5"/>
      <c r="M278" s="5"/>
    </row>
    <row r="279" customFormat="false" ht="15" hidden="false" customHeight="false" outlineLevel="0" collapsed="false">
      <c r="A279" s="8" t="s">
        <v>639</v>
      </c>
      <c r="B279" s="9" t="n">
        <v>45867</v>
      </c>
      <c r="C279" s="8" t="s">
        <v>114</v>
      </c>
      <c r="D279" s="8" t="s">
        <v>640</v>
      </c>
      <c r="E279" s="8" t="s">
        <v>116</v>
      </c>
      <c r="F279" s="10" t="n">
        <v>15239.73</v>
      </c>
      <c r="G279" s="8" t="s">
        <v>45</v>
      </c>
      <c r="H279" s="8" t="s">
        <v>46</v>
      </c>
      <c r="I279" s="8" t="s">
        <v>88</v>
      </c>
      <c r="J279" s="8"/>
      <c r="K279" s="8" t="str">
        <f aca="false">IF(D279="","",IF(COUNTIF($D$2:$D$321,D279)&gt;1,"DUPLICATE","OK"))</f>
        <v>OK</v>
      </c>
      <c r="L279" s="8"/>
      <c r="M279" s="8"/>
    </row>
    <row r="280" customFormat="false" ht="15" hidden="false" customHeight="false" outlineLevel="0" collapsed="false">
      <c r="A280" s="5" t="s">
        <v>641</v>
      </c>
      <c r="B280" s="6" t="n">
        <v>45896</v>
      </c>
      <c r="C280" s="5" t="s">
        <v>104</v>
      </c>
      <c r="D280" s="5" t="s">
        <v>642</v>
      </c>
      <c r="E280" s="5"/>
      <c r="F280" s="7" t="n">
        <v>12596.41</v>
      </c>
      <c r="G280" s="5" t="s">
        <v>62</v>
      </c>
      <c r="H280" s="5" t="s">
        <v>46</v>
      </c>
      <c r="I280" s="5" t="s">
        <v>52</v>
      </c>
      <c r="J280" s="5"/>
      <c r="K280" s="5" t="str">
        <f aca="false">IF(D280="","",IF(COUNTIF($D$2:$D$321,D280)&gt;1,"DUPLICATE","OK"))</f>
        <v>OK</v>
      </c>
      <c r="L280" s="5"/>
      <c r="M280" s="5"/>
    </row>
    <row r="281" customFormat="false" ht="15" hidden="false" customHeight="false" outlineLevel="0" collapsed="false">
      <c r="A281" s="8" t="s">
        <v>643</v>
      </c>
      <c r="B281" s="9" t="n">
        <v>45724</v>
      </c>
      <c r="C281" s="8" t="s">
        <v>160</v>
      </c>
      <c r="D281" s="8" t="s">
        <v>644</v>
      </c>
      <c r="E281" s="8" t="s">
        <v>162</v>
      </c>
      <c r="F281" s="10" t="n">
        <v>8028.97</v>
      </c>
      <c r="G281" s="8" t="s">
        <v>45</v>
      </c>
      <c r="H281" s="8" t="s">
        <v>46</v>
      </c>
      <c r="I281" s="8" t="s">
        <v>52</v>
      </c>
      <c r="J281" s="8"/>
      <c r="K281" s="8" t="str">
        <f aca="false">IF(D281="","",IF(COUNTIF($D$2:$D$321,D281)&gt;1,"DUPLICATE","OK"))</f>
        <v>OK</v>
      </c>
      <c r="L281" s="8"/>
      <c r="M281" s="8"/>
    </row>
    <row r="282" customFormat="false" ht="15" hidden="false" customHeight="false" outlineLevel="0" collapsed="false">
      <c r="A282" s="5" t="s">
        <v>645</v>
      </c>
      <c r="B282" s="6" t="n">
        <v>45742</v>
      </c>
      <c r="C282" s="5" t="s">
        <v>98</v>
      </c>
      <c r="D282" s="5" t="s">
        <v>646</v>
      </c>
      <c r="E282" s="5" t="s">
        <v>100</v>
      </c>
      <c r="F282" s="7" t="n">
        <v>3034.1</v>
      </c>
      <c r="G282" s="5" t="s">
        <v>38</v>
      </c>
      <c r="H282" s="5" t="s">
        <v>79</v>
      </c>
      <c r="I282" s="5" t="s">
        <v>52</v>
      </c>
      <c r="J282" s="5"/>
      <c r="K282" s="5" t="str">
        <f aca="false">IF(D282="","",IF(COUNTIF($D$2:$D$321,D282)&gt;1,"DUPLICATE","OK"))</f>
        <v>OK</v>
      </c>
      <c r="L282" s="5"/>
      <c r="M282" s="5"/>
    </row>
    <row r="283" customFormat="false" ht="15" hidden="false" customHeight="false" outlineLevel="0" collapsed="false">
      <c r="A283" s="8" t="s">
        <v>647</v>
      </c>
      <c r="B283" s="9" t="n">
        <v>45786</v>
      </c>
      <c r="C283" s="8" t="s">
        <v>75</v>
      </c>
      <c r="D283" s="8" t="s">
        <v>648</v>
      </c>
      <c r="E283" s="8" t="s">
        <v>77</v>
      </c>
      <c r="F283" s="10" t="n">
        <v>3667.75</v>
      </c>
      <c r="G283" s="8" t="s">
        <v>62</v>
      </c>
      <c r="H283" s="8" t="s">
        <v>46</v>
      </c>
      <c r="I283" s="8" t="s">
        <v>88</v>
      </c>
      <c r="J283" s="8"/>
      <c r="K283" s="8" t="str">
        <f aca="false">IF(D283="","",IF(COUNTIF($D$2:$D$321,D283)&gt;1,"DUPLICATE","OK"))</f>
        <v>OK</v>
      </c>
      <c r="L283" s="8"/>
      <c r="M283" s="8"/>
    </row>
    <row r="284" customFormat="false" ht="15" hidden="false" customHeight="false" outlineLevel="0" collapsed="false">
      <c r="A284" s="5" t="s">
        <v>649</v>
      </c>
      <c r="B284" s="6" t="n">
        <v>45705</v>
      </c>
      <c r="C284" s="5" t="s">
        <v>83</v>
      </c>
      <c r="D284" s="5" t="s">
        <v>650</v>
      </c>
      <c r="E284" s="5" t="s">
        <v>85</v>
      </c>
      <c r="F284" s="7" t="n">
        <v>9319.99</v>
      </c>
      <c r="G284" s="5" t="s">
        <v>38</v>
      </c>
      <c r="H284" s="5" t="s">
        <v>39</v>
      </c>
      <c r="I284" s="5" t="s">
        <v>52</v>
      </c>
      <c r="J284" s="5"/>
      <c r="K284" s="5" t="str">
        <f aca="false">IF(D284="","",IF(COUNTIF($D$2:$D$321,D284)&gt;1,"DUPLICATE","OK"))</f>
        <v>OK</v>
      </c>
      <c r="L284" s="5"/>
      <c r="M284" s="5"/>
    </row>
    <row r="285" customFormat="false" ht="15" hidden="false" customHeight="false" outlineLevel="0" collapsed="false">
      <c r="A285" s="8" t="s">
        <v>651</v>
      </c>
      <c r="B285" s="9" t="n">
        <v>45995</v>
      </c>
      <c r="C285" s="8" t="s">
        <v>98</v>
      </c>
      <c r="D285" s="8" t="s">
        <v>652</v>
      </c>
      <c r="E285" s="8" t="s">
        <v>100</v>
      </c>
      <c r="F285" s="10" t="n">
        <v>11569.76</v>
      </c>
      <c r="G285" s="8" t="s">
        <v>62</v>
      </c>
      <c r="H285" s="8" t="s">
        <v>39</v>
      </c>
      <c r="I285" s="8" t="s">
        <v>40</v>
      </c>
      <c r="J285" s="8"/>
      <c r="K285" s="8" t="str">
        <f aca="false">IF(D285="","",IF(COUNTIF($D$2:$D$321,D285)&gt;1,"DUPLICATE","OK"))</f>
        <v>OK</v>
      </c>
      <c r="L285" s="8"/>
      <c r="M285" s="8"/>
    </row>
    <row r="286" customFormat="false" ht="15" hidden="false" customHeight="false" outlineLevel="0" collapsed="false">
      <c r="A286" s="5" t="s">
        <v>653</v>
      </c>
      <c r="B286" s="6" t="n">
        <v>45681</v>
      </c>
      <c r="C286" s="5" t="s">
        <v>120</v>
      </c>
      <c r="D286" s="5" t="s">
        <v>654</v>
      </c>
      <c r="E286" s="5" t="s">
        <v>122</v>
      </c>
      <c r="F286" s="7" t="n">
        <v>17550.43</v>
      </c>
      <c r="G286" s="5" t="s">
        <v>62</v>
      </c>
      <c r="H286" s="5" t="s">
        <v>39</v>
      </c>
      <c r="I286" s="5" t="s">
        <v>47</v>
      </c>
      <c r="J286" s="5"/>
      <c r="K286" s="5" t="str">
        <f aca="false">IF(D286="","",IF(COUNTIF($D$2:$D$321,D286)&gt;1,"DUPLICATE","OK"))</f>
        <v>OK</v>
      </c>
      <c r="L286" s="5"/>
      <c r="M286" s="5"/>
    </row>
    <row r="287" customFormat="false" ht="15" hidden="false" customHeight="false" outlineLevel="0" collapsed="false">
      <c r="A287" s="8" t="s">
        <v>655</v>
      </c>
      <c r="B287" s="9" t="n">
        <v>45974</v>
      </c>
      <c r="C287" s="8" t="s">
        <v>160</v>
      </c>
      <c r="D287" s="8" t="s">
        <v>656</v>
      </c>
      <c r="E287" s="8" t="s">
        <v>162</v>
      </c>
      <c r="F287" s="10" t="n">
        <v>11837.58</v>
      </c>
      <c r="G287" s="8" t="s">
        <v>78</v>
      </c>
      <c r="H287" s="8" t="s">
        <v>39</v>
      </c>
      <c r="I287" s="8" t="s">
        <v>52</v>
      </c>
      <c r="J287" s="8"/>
      <c r="K287" s="8" t="str">
        <f aca="false">IF(D287="","",IF(COUNTIF($D$2:$D$321,D287)&gt;1,"DUPLICATE","OK"))</f>
        <v>OK</v>
      </c>
      <c r="L287" s="8"/>
      <c r="M287" s="8"/>
    </row>
    <row r="288" customFormat="false" ht="15" hidden="false" customHeight="false" outlineLevel="0" collapsed="false">
      <c r="A288" s="5" t="s">
        <v>657</v>
      </c>
      <c r="B288" s="6" t="n">
        <v>45812</v>
      </c>
      <c r="C288" s="5" t="s">
        <v>75</v>
      </c>
      <c r="D288" s="5" t="s">
        <v>658</v>
      </c>
      <c r="E288" s="5" t="s">
        <v>77</v>
      </c>
      <c r="F288" s="7" t="n">
        <v>8957.75</v>
      </c>
      <c r="G288" s="5" t="s">
        <v>78</v>
      </c>
      <c r="H288" s="5" t="s">
        <v>79</v>
      </c>
      <c r="I288" s="5" t="s">
        <v>57</v>
      </c>
      <c r="J288" s="5"/>
      <c r="K288" s="5" t="str">
        <f aca="false">IF(D288="","",IF(COUNTIF($D$2:$D$321,D288)&gt;1,"DUPLICATE","OK"))</f>
        <v>OK</v>
      </c>
      <c r="L288" s="5"/>
      <c r="M288" s="5"/>
    </row>
    <row r="289" customFormat="false" ht="15" hidden="false" customHeight="false" outlineLevel="0" collapsed="false">
      <c r="A289" s="8" t="s">
        <v>659</v>
      </c>
      <c r="B289" s="9" t="n">
        <v>45738</v>
      </c>
      <c r="C289" s="8" t="s">
        <v>104</v>
      </c>
      <c r="D289" s="8" t="s">
        <v>660</v>
      </c>
      <c r="E289" s="8" t="s">
        <v>106</v>
      </c>
      <c r="F289" s="10" t="n">
        <v>8157.92</v>
      </c>
      <c r="G289" s="8" t="s">
        <v>78</v>
      </c>
      <c r="H289" s="8" t="s">
        <v>79</v>
      </c>
      <c r="I289" s="8" t="s">
        <v>47</v>
      </c>
      <c r="J289" s="8"/>
      <c r="K289" s="8" t="str">
        <f aca="false">IF(D289="","",IF(COUNTIF($D$2:$D$321,D289)&gt;1,"DUPLICATE","OK"))</f>
        <v>OK</v>
      </c>
      <c r="L289" s="8"/>
      <c r="M289" s="8"/>
    </row>
    <row r="290" customFormat="false" ht="15" hidden="false" customHeight="false" outlineLevel="0" collapsed="false">
      <c r="A290" s="5" t="s">
        <v>661</v>
      </c>
      <c r="B290" s="6" t="n">
        <v>45731</v>
      </c>
      <c r="C290" s="5" t="s">
        <v>59</v>
      </c>
      <c r="D290" s="5" t="s">
        <v>662</v>
      </c>
      <c r="E290" s="5" t="s">
        <v>61</v>
      </c>
      <c r="F290" s="7" t="n">
        <v>5813.71</v>
      </c>
      <c r="G290" s="5" t="s">
        <v>62</v>
      </c>
      <c r="H290" s="5" t="s">
        <v>39</v>
      </c>
      <c r="I290" s="5" t="s">
        <v>88</v>
      </c>
      <c r="J290" s="5"/>
      <c r="K290" s="5" t="str">
        <f aca="false">IF(D290="","",IF(COUNTIF($D$2:$D$321,D290)&gt;1,"DUPLICATE","OK"))</f>
        <v>OK</v>
      </c>
      <c r="L290" s="5"/>
      <c r="M290" s="5"/>
    </row>
    <row r="291" customFormat="false" ht="15" hidden="false" customHeight="false" outlineLevel="0" collapsed="false">
      <c r="A291" s="8" t="s">
        <v>663</v>
      </c>
      <c r="B291" s="9" t="n">
        <v>45847</v>
      </c>
      <c r="C291" s="8" t="s">
        <v>65</v>
      </c>
      <c r="D291" s="8" t="s">
        <v>664</v>
      </c>
      <c r="E291" s="8" t="s">
        <v>67</v>
      </c>
      <c r="F291" s="10" t="n">
        <v>9548.96</v>
      </c>
      <c r="G291" s="8" t="s">
        <v>45</v>
      </c>
      <c r="H291" s="8" t="s">
        <v>79</v>
      </c>
      <c r="I291" s="8" t="s">
        <v>47</v>
      </c>
      <c r="J291" s="8"/>
      <c r="K291" s="8" t="str">
        <f aca="false">IF(D291="","",IF(COUNTIF($D$2:$D$321,D291)&gt;1,"DUPLICATE","OK"))</f>
        <v>OK</v>
      </c>
      <c r="L291" s="8"/>
      <c r="M291" s="8"/>
    </row>
    <row r="292" customFormat="false" ht="15" hidden="false" customHeight="false" outlineLevel="0" collapsed="false">
      <c r="A292" s="5" t="s">
        <v>665</v>
      </c>
      <c r="B292" s="6" t="n">
        <v>45794</v>
      </c>
      <c r="C292" s="5" t="s">
        <v>228</v>
      </c>
      <c r="D292" s="5" t="s">
        <v>666</v>
      </c>
      <c r="E292" s="5" t="s">
        <v>230</v>
      </c>
      <c r="F292" s="7" t="n">
        <v>8342.29</v>
      </c>
      <c r="G292" s="5"/>
      <c r="H292" s="5" t="s">
        <v>46</v>
      </c>
      <c r="I292" s="5" t="s">
        <v>40</v>
      </c>
      <c r="J292" s="5"/>
      <c r="K292" s="5" t="str">
        <f aca="false">IF(D292="","",IF(COUNTIF($D$2:$D$321,D292)&gt;1,"DUPLICATE","OK"))</f>
        <v>OK</v>
      </c>
      <c r="L292" s="5"/>
      <c r="M292" s="5"/>
    </row>
    <row r="293" customFormat="false" ht="15" hidden="false" customHeight="false" outlineLevel="0" collapsed="false">
      <c r="A293" s="8" t="s">
        <v>667</v>
      </c>
      <c r="B293" s="9" t="n">
        <v>45973</v>
      </c>
      <c r="C293" s="8" t="s">
        <v>75</v>
      </c>
      <c r="D293" s="8" t="s">
        <v>668</v>
      </c>
      <c r="E293" s="8" t="s">
        <v>77</v>
      </c>
      <c r="F293" s="10" t="n">
        <v>7761.68</v>
      </c>
      <c r="G293" s="8" t="s">
        <v>38</v>
      </c>
      <c r="H293" s="8" t="s">
        <v>79</v>
      </c>
      <c r="I293" s="8" t="s">
        <v>52</v>
      </c>
      <c r="J293" s="8"/>
      <c r="K293" s="8" t="str">
        <f aca="false">IF(D293="","",IF(COUNTIF($D$2:$D$321,D293)&gt;1,"DUPLICATE","OK"))</f>
        <v>OK</v>
      </c>
      <c r="L293" s="8"/>
      <c r="M293" s="8"/>
    </row>
    <row r="294" customFormat="false" ht="15" hidden="false" customHeight="false" outlineLevel="0" collapsed="false">
      <c r="A294" s="5" t="s">
        <v>669</v>
      </c>
      <c r="B294" s="6" t="n">
        <v>45739</v>
      </c>
      <c r="C294" s="5" t="s">
        <v>59</v>
      </c>
      <c r="D294" s="5" t="s">
        <v>670</v>
      </c>
      <c r="E294" s="5" t="s">
        <v>61</v>
      </c>
      <c r="F294" s="7" t="n">
        <v>9240.49</v>
      </c>
      <c r="G294" s="5" t="s">
        <v>78</v>
      </c>
      <c r="H294" s="5" t="s">
        <v>79</v>
      </c>
      <c r="I294" s="5" t="s">
        <v>88</v>
      </c>
      <c r="J294" s="5"/>
      <c r="K294" s="5" t="str">
        <f aca="false">IF(D294="","",IF(COUNTIF($D$2:$D$321,D294)&gt;1,"DUPLICATE","OK"))</f>
        <v>OK</v>
      </c>
      <c r="L294" s="5"/>
      <c r="M294" s="5"/>
    </row>
    <row r="295" customFormat="false" ht="15" hidden="false" customHeight="false" outlineLevel="0" collapsed="false">
      <c r="A295" s="8" t="s">
        <v>671</v>
      </c>
      <c r="B295" s="9" t="n">
        <v>46603</v>
      </c>
      <c r="C295" s="8" t="s">
        <v>164</v>
      </c>
      <c r="D295" s="8" t="s">
        <v>672</v>
      </c>
      <c r="E295" s="8" t="s">
        <v>166</v>
      </c>
      <c r="F295" s="10" t="n">
        <v>17489.27</v>
      </c>
      <c r="G295" s="8" t="s">
        <v>78</v>
      </c>
      <c r="H295" s="8" t="s">
        <v>46</v>
      </c>
      <c r="I295" s="8" t="s">
        <v>47</v>
      </c>
      <c r="J295" s="8"/>
      <c r="K295" s="8" t="str">
        <f aca="false">IF(D295="","",IF(COUNTIF($D$2:$D$321,D295)&gt;1,"DUPLICATE","OK"))</f>
        <v>OK</v>
      </c>
      <c r="L295" s="8"/>
      <c r="M295" s="8"/>
    </row>
    <row r="296" customFormat="false" ht="15" hidden="false" customHeight="false" outlineLevel="0" collapsed="false">
      <c r="A296" s="5" t="s">
        <v>673</v>
      </c>
      <c r="B296" s="6" t="n">
        <v>45682</v>
      </c>
      <c r="C296" s="5" t="s">
        <v>160</v>
      </c>
      <c r="D296" s="5" t="s">
        <v>140</v>
      </c>
      <c r="E296" s="5" t="s">
        <v>162</v>
      </c>
      <c r="F296" s="7" t="n">
        <v>977.72</v>
      </c>
      <c r="G296" s="5" t="s">
        <v>78</v>
      </c>
      <c r="H296" s="5" t="s">
        <v>39</v>
      </c>
      <c r="I296" s="5" t="s">
        <v>57</v>
      </c>
      <c r="J296" s="5"/>
      <c r="K296" s="5" t="str">
        <f aca="false">IF(D296="","",IF(COUNTIF($D$2:$D$321,D296)&gt;1,"DUPLICATE","OK"))</f>
        <v>DUPLICATE</v>
      </c>
      <c r="L296" s="5"/>
      <c r="M296" s="5"/>
    </row>
    <row r="297" customFormat="false" ht="15" hidden="false" customHeight="false" outlineLevel="0" collapsed="false">
      <c r="A297" s="8" t="s">
        <v>674</v>
      </c>
      <c r="B297" s="9" t="n">
        <v>45662</v>
      </c>
      <c r="C297" s="8" t="s">
        <v>75</v>
      </c>
      <c r="D297" s="8" t="s">
        <v>675</v>
      </c>
      <c r="E297" s="8" t="s">
        <v>77</v>
      </c>
      <c r="F297" s="10" t="n">
        <v>15679.57</v>
      </c>
      <c r="G297" s="8" t="s">
        <v>78</v>
      </c>
      <c r="H297" s="8" t="s">
        <v>46</v>
      </c>
      <c r="I297" s="8" t="s">
        <v>88</v>
      </c>
      <c r="J297" s="8"/>
      <c r="K297" s="8" t="str">
        <f aca="false">IF(D297="","",IF(COUNTIF($D$2:$D$321,D297)&gt;1,"DUPLICATE","OK"))</f>
        <v>OK</v>
      </c>
      <c r="L297" s="8"/>
      <c r="M297" s="8"/>
    </row>
    <row r="298" customFormat="false" ht="15" hidden="false" customHeight="false" outlineLevel="0" collapsed="false">
      <c r="A298" s="5" t="s">
        <v>676</v>
      </c>
      <c r="B298" s="6" t="n">
        <v>45845</v>
      </c>
      <c r="C298" s="5" t="s">
        <v>71</v>
      </c>
      <c r="D298" s="5" t="s">
        <v>677</v>
      </c>
      <c r="E298" s="5" t="s">
        <v>73</v>
      </c>
      <c r="F298" s="7" t="n">
        <v>879.95</v>
      </c>
      <c r="G298" s="5" t="s">
        <v>45</v>
      </c>
      <c r="H298" s="5" t="s">
        <v>39</v>
      </c>
      <c r="I298" s="5" t="s">
        <v>52</v>
      </c>
      <c r="J298" s="5"/>
      <c r="K298" s="5" t="str">
        <f aca="false">IF(D298="","",IF(COUNTIF($D$2:$D$321,D298)&gt;1,"DUPLICATE","OK"))</f>
        <v>OK</v>
      </c>
      <c r="L298" s="5"/>
      <c r="M298" s="5"/>
    </row>
    <row r="299" customFormat="false" ht="15" hidden="false" customHeight="false" outlineLevel="0" collapsed="false">
      <c r="A299" s="8" t="s">
        <v>678</v>
      </c>
      <c r="B299" s="9" t="n">
        <v>45941</v>
      </c>
      <c r="C299" s="8" t="s">
        <v>94</v>
      </c>
      <c r="D299" s="8" t="s">
        <v>679</v>
      </c>
      <c r="E299" s="8" t="s">
        <v>96</v>
      </c>
      <c r="F299" s="10" t="n">
        <v>5371.14</v>
      </c>
      <c r="G299" s="8" t="s">
        <v>78</v>
      </c>
      <c r="H299" s="8" t="s">
        <v>39</v>
      </c>
      <c r="I299" s="8" t="s">
        <v>57</v>
      </c>
      <c r="J299" s="8"/>
      <c r="K299" s="8" t="str">
        <f aca="false">IF(D299="","",IF(COUNTIF($D$2:$D$321,D299)&gt;1,"DUPLICATE","OK"))</f>
        <v>OK</v>
      </c>
      <c r="L299" s="8"/>
      <c r="M299" s="8"/>
    </row>
    <row r="300" customFormat="false" ht="15" hidden="false" customHeight="false" outlineLevel="0" collapsed="false">
      <c r="A300" s="5" t="s">
        <v>680</v>
      </c>
      <c r="B300" s="6" t="n">
        <v>45977</v>
      </c>
      <c r="C300" s="5" t="s">
        <v>42</v>
      </c>
      <c r="D300" s="5" t="s">
        <v>681</v>
      </c>
      <c r="E300" s="5" t="s">
        <v>44</v>
      </c>
      <c r="F300" s="7" t="n">
        <v>12601.76</v>
      </c>
      <c r="G300" s="5" t="s">
        <v>45</v>
      </c>
      <c r="H300" s="5" t="s">
        <v>46</v>
      </c>
      <c r="I300" s="5" t="s">
        <v>40</v>
      </c>
      <c r="J300" s="5"/>
      <c r="K300" s="5" t="str">
        <f aca="false">IF(D300="","",IF(COUNTIF($D$2:$D$321,D300)&gt;1,"DUPLICATE","OK"))</f>
        <v>OK</v>
      </c>
      <c r="L300" s="5"/>
      <c r="M300" s="5"/>
    </row>
    <row r="301" customFormat="false" ht="15" hidden="false" customHeight="false" outlineLevel="0" collapsed="false">
      <c r="A301" s="8" t="s">
        <v>682</v>
      </c>
      <c r="B301" s="9" t="n">
        <v>45831</v>
      </c>
      <c r="C301" s="8" t="s">
        <v>65</v>
      </c>
      <c r="D301" s="8" t="s">
        <v>683</v>
      </c>
      <c r="E301" s="8" t="s">
        <v>67</v>
      </c>
      <c r="F301" s="10" t="n">
        <v>10339.79</v>
      </c>
      <c r="G301" s="8" t="s">
        <v>62</v>
      </c>
      <c r="H301" s="8" t="s">
        <v>46</v>
      </c>
      <c r="I301" s="8" t="s">
        <v>47</v>
      </c>
      <c r="J301" s="8"/>
      <c r="K301" s="8" t="str">
        <f aca="false">IF(D301="","",IF(COUNTIF($D$2:$D$321,D301)&gt;1,"DUPLICATE","OK"))</f>
        <v>OK</v>
      </c>
      <c r="L301" s="8"/>
      <c r="M301" s="8"/>
    </row>
    <row r="302" customFormat="false" ht="15" hidden="false" customHeight="false" outlineLevel="0" collapsed="false">
      <c r="A302" s="5" t="s">
        <v>684</v>
      </c>
      <c r="B302" s="6" t="n">
        <v>45863</v>
      </c>
      <c r="C302" s="5" t="s">
        <v>83</v>
      </c>
      <c r="D302" s="5" t="s">
        <v>685</v>
      </c>
      <c r="E302" s="5" t="s">
        <v>85</v>
      </c>
      <c r="F302" s="7" t="n">
        <v>9273.94</v>
      </c>
      <c r="G302" s="5" t="s">
        <v>45</v>
      </c>
      <c r="H302" s="5" t="s">
        <v>46</v>
      </c>
      <c r="I302" s="5" t="s">
        <v>47</v>
      </c>
      <c r="J302" s="5"/>
      <c r="K302" s="5" t="str">
        <f aca="false">IF(D302="","",IF(COUNTIF($D$2:$D$321,D302)&gt;1,"DUPLICATE","OK"))</f>
        <v>OK</v>
      </c>
      <c r="L302" s="5"/>
      <c r="M302" s="5"/>
    </row>
    <row r="303" customFormat="false" ht="15" hidden="false" customHeight="false" outlineLevel="0" collapsed="false">
      <c r="A303" s="8" t="s">
        <v>686</v>
      </c>
      <c r="B303" s="9" t="n">
        <v>45923</v>
      </c>
      <c r="C303" s="8" t="s">
        <v>59</v>
      </c>
      <c r="D303" s="8" t="s">
        <v>687</v>
      </c>
      <c r="E303" s="8" t="s">
        <v>61</v>
      </c>
      <c r="F303" s="10" t="n">
        <v>8478.72</v>
      </c>
      <c r="G303" s="8" t="s">
        <v>38</v>
      </c>
      <c r="H303" s="8" t="s">
        <v>79</v>
      </c>
      <c r="I303" s="8" t="s">
        <v>52</v>
      </c>
      <c r="J303" s="8"/>
      <c r="K303" s="8" t="str">
        <f aca="false">IF(D303="","",IF(COUNTIF($D$2:$D$321,D303)&gt;1,"DUPLICATE","OK"))</f>
        <v>OK</v>
      </c>
      <c r="L303" s="8"/>
      <c r="M303" s="8"/>
    </row>
    <row r="304" customFormat="false" ht="15" hidden="false" customHeight="false" outlineLevel="0" collapsed="false">
      <c r="A304" s="5" t="s">
        <v>688</v>
      </c>
      <c r="B304" s="6" t="n">
        <v>45973</v>
      </c>
      <c r="C304" s="5" t="s">
        <v>59</v>
      </c>
      <c r="D304" s="5" t="s">
        <v>689</v>
      </c>
      <c r="E304" s="5" t="s">
        <v>61</v>
      </c>
      <c r="F304" s="7" t="n">
        <v>13689.14</v>
      </c>
      <c r="G304" s="5" t="s">
        <v>62</v>
      </c>
      <c r="H304" s="5" t="s">
        <v>39</v>
      </c>
      <c r="I304" s="5" t="s">
        <v>88</v>
      </c>
      <c r="J304" s="5"/>
      <c r="K304" s="5" t="str">
        <f aca="false">IF(D304="","",IF(COUNTIF($D$2:$D$321,D304)&gt;1,"DUPLICATE","OK"))</f>
        <v>OK</v>
      </c>
      <c r="L304" s="5"/>
      <c r="M304" s="5"/>
    </row>
    <row r="305" customFormat="false" ht="15" hidden="false" customHeight="false" outlineLevel="0" collapsed="false">
      <c r="A305" s="8" t="s">
        <v>690</v>
      </c>
      <c r="B305" s="9" t="n">
        <v>45930</v>
      </c>
      <c r="C305" s="8" t="s">
        <v>114</v>
      </c>
      <c r="D305" s="8" t="s">
        <v>691</v>
      </c>
      <c r="E305" s="8" t="s">
        <v>116</v>
      </c>
      <c r="F305" s="10" t="n">
        <v>9085.12</v>
      </c>
      <c r="G305" s="8" t="s">
        <v>62</v>
      </c>
      <c r="H305" s="8" t="s">
        <v>79</v>
      </c>
      <c r="I305" s="8" t="s">
        <v>40</v>
      </c>
      <c r="J305" s="8"/>
      <c r="K305" s="8" t="str">
        <f aca="false">IF(D305="","",IF(COUNTIF($D$2:$D$321,D305)&gt;1,"DUPLICATE","OK"))</f>
        <v>OK</v>
      </c>
      <c r="L305" s="8"/>
      <c r="M305" s="8"/>
    </row>
    <row r="306" customFormat="false" ht="15" hidden="false" customHeight="false" outlineLevel="0" collapsed="false">
      <c r="A306" s="5" t="s">
        <v>692</v>
      </c>
      <c r="B306" s="6" t="n">
        <v>46002</v>
      </c>
      <c r="C306" s="5" t="s">
        <v>71</v>
      </c>
      <c r="D306" s="5" t="s">
        <v>693</v>
      </c>
      <c r="E306" s="5" t="s">
        <v>73</v>
      </c>
      <c r="F306" s="7" t="n">
        <v>2067.75</v>
      </c>
      <c r="G306" s="5" t="s">
        <v>78</v>
      </c>
      <c r="H306" s="5" t="s">
        <v>39</v>
      </c>
      <c r="I306" s="5" t="s">
        <v>88</v>
      </c>
      <c r="J306" s="5"/>
      <c r="K306" s="5" t="str">
        <f aca="false">IF(D306="","",IF(COUNTIF($D$2:$D$321,D306)&gt;1,"DUPLICATE","OK"))</f>
        <v>OK</v>
      </c>
      <c r="L306" s="5"/>
      <c r="M306" s="5"/>
    </row>
    <row r="307" customFormat="false" ht="15" hidden="false" customHeight="false" outlineLevel="0" collapsed="false">
      <c r="A307" s="8" t="s">
        <v>694</v>
      </c>
      <c r="B307" s="9" t="n">
        <v>45900</v>
      </c>
      <c r="C307" s="8" t="s">
        <v>120</v>
      </c>
      <c r="D307" s="8" t="s">
        <v>695</v>
      </c>
      <c r="E307" s="8" t="s">
        <v>122</v>
      </c>
      <c r="F307" s="10" t="n">
        <v>4945.36</v>
      </c>
      <c r="G307" s="8" t="s">
        <v>38</v>
      </c>
      <c r="H307" s="8" t="s">
        <v>39</v>
      </c>
      <c r="I307" s="8" t="s">
        <v>40</v>
      </c>
      <c r="J307" s="8"/>
      <c r="K307" s="8" t="str">
        <f aca="false">IF(D307="","",IF(COUNTIF($D$2:$D$321,D307)&gt;1,"DUPLICATE","OK"))</f>
        <v>OK</v>
      </c>
      <c r="L307" s="8"/>
      <c r="M307" s="8"/>
    </row>
    <row r="308" customFormat="false" ht="15" hidden="false" customHeight="false" outlineLevel="0" collapsed="false">
      <c r="A308" s="5" t="s">
        <v>696</v>
      </c>
      <c r="B308" s="6" t="n">
        <v>45745</v>
      </c>
      <c r="C308" s="5" t="s">
        <v>160</v>
      </c>
      <c r="D308" s="5" t="s">
        <v>697</v>
      </c>
      <c r="E308" s="5" t="s">
        <v>162</v>
      </c>
      <c r="F308" s="7" t="n">
        <v>9719.71</v>
      </c>
      <c r="G308" s="5" t="s">
        <v>78</v>
      </c>
      <c r="H308" s="5" t="s">
        <v>46</v>
      </c>
      <c r="I308" s="5" t="s">
        <v>47</v>
      </c>
      <c r="J308" s="5"/>
      <c r="K308" s="5" t="str">
        <f aca="false">IF(D308="","",IF(COUNTIF($D$2:$D$321,D308)&gt;1,"DUPLICATE","OK"))</f>
        <v>OK</v>
      </c>
      <c r="L308" s="5"/>
      <c r="M308" s="5"/>
    </row>
    <row r="309" customFormat="false" ht="15" hidden="false" customHeight="false" outlineLevel="0" collapsed="false">
      <c r="A309" s="8" t="s">
        <v>698</v>
      </c>
      <c r="B309" s="9" t="n">
        <v>46016</v>
      </c>
      <c r="C309" s="8" t="s">
        <v>90</v>
      </c>
      <c r="D309" s="8" t="s">
        <v>699</v>
      </c>
      <c r="E309" s="8" t="s">
        <v>92</v>
      </c>
      <c r="F309" s="10" t="n">
        <v>2073.12</v>
      </c>
      <c r="G309" s="8" t="s">
        <v>45</v>
      </c>
      <c r="H309" s="8" t="s">
        <v>79</v>
      </c>
      <c r="I309" s="8" t="s">
        <v>88</v>
      </c>
      <c r="J309" s="8"/>
      <c r="K309" s="8" t="str">
        <f aca="false">IF(D309="","",IF(COUNTIF($D$2:$D$321,D309)&gt;1,"DUPLICATE","OK"))</f>
        <v>OK</v>
      </c>
      <c r="L309" s="8"/>
      <c r="M309" s="8"/>
    </row>
    <row r="310" customFormat="false" ht="15" hidden="false" customHeight="false" outlineLevel="0" collapsed="false">
      <c r="A310" s="5" t="s">
        <v>700</v>
      </c>
      <c r="B310" s="6" t="n">
        <v>45869</v>
      </c>
      <c r="C310" s="5" t="s">
        <v>54</v>
      </c>
      <c r="D310" s="5" t="s">
        <v>701</v>
      </c>
      <c r="E310" s="5" t="s">
        <v>56</v>
      </c>
      <c r="F310" s="7" t="n">
        <v>12788.18</v>
      </c>
      <c r="G310" s="5" t="s">
        <v>78</v>
      </c>
      <c r="H310" s="5" t="s">
        <v>39</v>
      </c>
      <c r="I310" s="5"/>
      <c r="J310" s="5"/>
      <c r="K310" s="5" t="str">
        <f aca="false">IF(D310="","",IF(COUNTIF($D$2:$D$321,D310)&gt;1,"DUPLICATE","OK"))</f>
        <v>OK</v>
      </c>
      <c r="L310" s="5"/>
      <c r="M310" s="5"/>
    </row>
    <row r="311" customFormat="false" ht="15" hidden="false" customHeight="false" outlineLevel="0" collapsed="false">
      <c r="A311" s="8" t="s">
        <v>702</v>
      </c>
      <c r="B311" s="9" t="n">
        <v>46019</v>
      </c>
      <c r="C311" s="8" t="s">
        <v>164</v>
      </c>
      <c r="D311" s="8" t="s">
        <v>703</v>
      </c>
      <c r="E311" s="8" t="s">
        <v>166</v>
      </c>
      <c r="F311" s="10" t="n">
        <v>2593.31</v>
      </c>
      <c r="G311" s="8" t="s">
        <v>38</v>
      </c>
      <c r="H311" s="8" t="s">
        <v>39</v>
      </c>
      <c r="I311" s="8" t="s">
        <v>88</v>
      </c>
      <c r="J311" s="8"/>
      <c r="K311" s="8" t="str">
        <f aca="false">IF(D311="","",IF(COUNTIF($D$2:$D$321,D311)&gt;1,"DUPLICATE","OK"))</f>
        <v>OK</v>
      </c>
      <c r="L311" s="8"/>
      <c r="M311" s="8"/>
    </row>
    <row r="312" customFormat="false" ht="15" hidden="false" customHeight="false" outlineLevel="0" collapsed="false">
      <c r="A312" s="5" t="s">
        <v>704</v>
      </c>
      <c r="B312" s="6" t="n">
        <v>45850</v>
      </c>
      <c r="C312" s="5" t="s">
        <v>164</v>
      </c>
      <c r="D312" s="5" t="s">
        <v>705</v>
      </c>
      <c r="E312" s="5" t="s">
        <v>166</v>
      </c>
      <c r="F312" s="7" t="n">
        <v>5835.3</v>
      </c>
      <c r="G312" s="5" t="s">
        <v>38</v>
      </c>
      <c r="H312" s="5" t="s">
        <v>79</v>
      </c>
      <c r="I312" s="5" t="s">
        <v>52</v>
      </c>
      <c r="J312" s="5"/>
      <c r="K312" s="5" t="str">
        <f aca="false">IF(D312="","",IF(COUNTIF($D$2:$D$321,D312)&gt;1,"DUPLICATE","OK"))</f>
        <v>OK</v>
      </c>
      <c r="L312" s="5"/>
      <c r="M312" s="5"/>
    </row>
    <row r="313" customFormat="false" ht="15" hidden="false" customHeight="false" outlineLevel="0" collapsed="false">
      <c r="A313" s="8" t="s">
        <v>706</v>
      </c>
      <c r="B313" s="9" t="n">
        <v>45839</v>
      </c>
      <c r="C313" s="8" t="s">
        <v>59</v>
      </c>
      <c r="D313" s="8" t="s">
        <v>707</v>
      </c>
      <c r="E313" s="8" t="s">
        <v>61</v>
      </c>
      <c r="F313" s="10" t="n">
        <v>12518.15</v>
      </c>
      <c r="G313" s="8" t="s">
        <v>62</v>
      </c>
      <c r="H313" s="8" t="s">
        <v>39</v>
      </c>
      <c r="I313" s="8" t="s">
        <v>57</v>
      </c>
      <c r="J313" s="8"/>
      <c r="K313" s="8" t="str">
        <f aca="false">IF(D313="","",IF(COUNTIF($D$2:$D$321,D313)&gt;1,"DUPLICATE","OK"))</f>
        <v>OK</v>
      </c>
      <c r="L313" s="8"/>
      <c r="M313" s="8"/>
    </row>
    <row r="314" customFormat="false" ht="15" hidden="false" customHeight="false" outlineLevel="0" collapsed="false">
      <c r="A314" s="5" t="s">
        <v>708</v>
      </c>
      <c r="B314" s="6" t="n">
        <v>45800</v>
      </c>
      <c r="C314" s="5"/>
      <c r="D314" s="5" t="s">
        <v>709</v>
      </c>
      <c r="E314" s="5" t="s">
        <v>96</v>
      </c>
      <c r="F314" s="7" t="n">
        <v>10344.49</v>
      </c>
      <c r="G314" s="5" t="s">
        <v>38</v>
      </c>
      <c r="H314" s="5" t="s">
        <v>79</v>
      </c>
      <c r="I314" s="5" t="s">
        <v>88</v>
      </c>
      <c r="J314" s="5"/>
      <c r="K314" s="5" t="str">
        <f aca="false">IF(D314="","",IF(COUNTIF($D$2:$D$321,D314)&gt;1,"DUPLICATE","OK"))</f>
        <v>OK</v>
      </c>
      <c r="L314" s="5"/>
      <c r="M314" s="5"/>
    </row>
    <row r="315" customFormat="false" ht="15" hidden="false" customHeight="false" outlineLevel="0" collapsed="false">
      <c r="A315" s="8" t="s">
        <v>710</v>
      </c>
      <c r="B315" s="9" t="n">
        <v>45820</v>
      </c>
      <c r="C315" s="8" t="s">
        <v>94</v>
      </c>
      <c r="D315" s="8" t="s">
        <v>711</v>
      </c>
      <c r="E315" s="8" t="s">
        <v>96</v>
      </c>
      <c r="F315" s="10" t="n">
        <v>8899.77</v>
      </c>
      <c r="G315" s="8" t="s">
        <v>62</v>
      </c>
      <c r="H315" s="8" t="s">
        <v>79</v>
      </c>
      <c r="I315" s="8" t="s">
        <v>40</v>
      </c>
      <c r="J315" s="8"/>
      <c r="K315" s="8" t="str">
        <f aca="false">IF(D315="","",IF(COUNTIF($D$2:$D$321,D315)&gt;1,"DUPLICATE","OK"))</f>
        <v>OK</v>
      </c>
      <c r="L315" s="8"/>
      <c r="M315" s="8"/>
    </row>
    <row r="316" customFormat="false" ht="15" hidden="false" customHeight="false" outlineLevel="0" collapsed="false">
      <c r="A316" s="5" t="s">
        <v>712</v>
      </c>
      <c r="B316" s="6" t="n">
        <v>45936</v>
      </c>
      <c r="C316" s="5" t="s">
        <v>160</v>
      </c>
      <c r="D316" s="5" t="s">
        <v>713</v>
      </c>
      <c r="E316" s="5" t="s">
        <v>162</v>
      </c>
      <c r="F316" s="7" t="n">
        <v>7052.26</v>
      </c>
      <c r="G316" s="5" t="s">
        <v>78</v>
      </c>
      <c r="H316" s="5" t="s">
        <v>79</v>
      </c>
      <c r="I316" s="5" t="s">
        <v>47</v>
      </c>
      <c r="J316" s="5"/>
      <c r="K316" s="5" t="str">
        <f aca="false">IF(D316="","",IF(COUNTIF($D$2:$D$321,D316)&gt;1,"DUPLICATE","OK"))</f>
        <v>OK</v>
      </c>
      <c r="L316" s="5"/>
      <c r="M316" s="5"/>
    </row>
    <row r="317" customFormat="false" ht="15" hidden="false" customHeight="false" outlineLevel="0" collapsed="false">
      <c r="A317" s="8" t="s">
        <v>714</v>
      </c>
      <c r="B317" s="9" t="n">
        <v>45805</v>
      </c>
      <c r="C317" s="8" t="s">
        <v>75</v>
      </c>
      <c r="D317" s="8" t="s">
        <v>715</v>
      </c>
      <c r="E317" s="8" t="s">
        <v>77</v>
      </c>
      <c r="F317" s="10" t="n">
        <v>17675.31</v>
      </c>
      <c r="G317" s="8" t="s">
        <v>45</v>
      </c>
      <c r="H317" s="8" t="s">
        <v>79</v>
      </c>
      <c r="I317" s="8" t="s">
        <v>57</v>
      </c>
      <c r="J317" s="8"/>
      <c r="K317" s="8" t="str">
        <f aca="false">IF(D317="","",IF(COUNTIF($D$2:$D$321,D317)&gt;1,"DUPLICATE","OK"))</f>
        <v>OK</v>
      </c>
      <c r="L317" s="8"/>
      <c r="M317" s="8"/>
    </row>
    <row r="318" customFormat="false" ht="15" hidden="false" customHeight="false" outlineLevel="0" collapsed="false">
      <c r="A318" s="5" t="s">
        <v>716</v>
      </c>
      <c r="B318" s="6" t="n">
        <v>45767</v>
      </c>
      <c r="C318" s="5" t="s">
        <v>128</v>
      </c>
      <c r="D318" s="5" t="s">
        <v>717</v>
      </c>
      <c r="E318" s="5" t="s">
        <v>130</v>
      </c>
      <c r="F318" s="7" t="n">
        <v>3774.17</v>
      </c>
      <c r="G318" s="5" t="s">
        <v>62</v>
      </c>
      <c r="H318" s="5" t="s">
        <v>39</v>
      </c>
      <c r="I318" s="5" t="s">
        <v>88</v>
      </c>
      <c r="J318" s="5"/>
      <c r="K318" s="5" t="str">
        <f aca="false">IF(D318="","",IF(COUNTIF($D$2:$D$321,D318)&gt;1,"DUPLICATE","OK"))</f>
        <v>OK</v>
      </c>
      <c r="L318" s="5"/>
      <c r="M318" s="5"/>
    </row>
    <row r="319" customFormat="false" ht="15" hidden="false" customHeight="false" outlineLevel="0" collapsed="false">
      <c r="A319" s="8" t="s">
        <v>718</v>
      </c>
      <c r="B319" s="9" t="n">
        <v>45973</v>
      </c>
      <c r="C319" s="8" t="s">
        <v>98</v>
      </c>
      <c r="D319" s="8" t="s">
        <v>719</v>
      </c>
      <c r="E319" s="8" t="s">
        <v>100</v>
      </c>
      <c r="F319" s="10" t="n">
        <v>13718.14</v>
      </c>
      <c r="G319" s="8" t="s">
        <v>38</v>
      </c>
      <c r="H319" s="8" t="s">
        <v>46</v>
      </c>
      <c r="I319" s="8" t="s">
        <v>40</v>
      </c>
      <c r="J319" s="8"/>
      <c r="K319" s="8" t="str">
        <f aca="false">IF(D319="","",IF(COUNTIF($D$2:$D$321,D319)&gt;1,"DUPLICATE","OK"))</f>
        <v>OK</v>
      </c>
      <c r="L319" s="8"/>
      <c r="M319" s="8"/>
    </row>
    <row r="320" customFormat="false" ht="15" hidden="false" customHeight="false" outlineLevel="0" collapsed="false">
      <c r="A320" s="5" t="s">
        <v>720</v>
      </c>
      <c r="B320" s="6" t="n">
        <v>45984</v>
      </c>
      <c r="C320" s="5" t="s">
        <v>114</v>
      </c>
      <c r="D320" s="5" t="s">
        <v>721</v>
      </c>
      <c r="E320" s="5" t="s">
        <v>116</v>
      </c>
      <c r="F320" s="7" t="n">
        <v>4342</v>
      </c>
      <c r="G320" s="5" t="s">
        <v>45</v>
      </c>
      <c r="H320" s="5" t="s">
        <v>79</v>
      </c>
      <c r="I320" s="5" t="s">
        <v>88</v>
      </c>
      <c r="J320" s="5"/>
      <c r="K320" s="5" t="str">
        <f aca="false">IF(D320="","",IF(COUNTIF($D$2:$D$321,D320)&gt;1,"DUPLICATE","OK"))</f>
        <v>OK</v>
      </c>
      <c r="L320" s="5"/>
      <c r="M320" s="5"/>
    </row>
    <row r="321" customFormat="false" ht="15" hidden="false" customHeight="false" outlineLevel="0" collapsed="false">
      <c r="A321" s="8" t="s">
        <v>722</v>
      </c>
      <c r="B321" s="9" t="n">
        <v>46006</v>
      </c>
      <c r="C321" s="8" t="s">
        <v>164</v>
      </c>
      <c r="D321" s="8" t="s">
        <v>723</v>
      </c>
      <c r="E321" s="8" t="s">
        <v>166</v>
      </c>
      <c r="F321" s="10" t="n">
        <v>14269.49</v>
      </c>
      <c r="G321" s="8" t="s">
        <v>45</v>
      </c>
      <c r="H321" s="8" t="s">
        <v>39</v>
      </c>
      <c r="I321" s="8" t="s">
        <v>47</v>
      </c>
      <c r="J321" s="8"/>
      <c r="K321" s="8" t="str">
        <f aca="false">IF(D321="","",IF(COUNTIF($D$2:$D$321,D321)&gt;1,"DUPLICATE","OK"))</f>
        <v>OK</v>
      </c>
      <c r="L321" s="8"/>
      <c r="M321" s="8"/>
    </row>
    <row r="323" customFormat="false" ht="15" hidden="false" customHeight="false" outlineLevel="0" collapsed="false">
      <c r="E323" s="11" t="s">
        <v>724</v>
      </c>
      <c r="F323" s="12" t="n">
        <f aca="false">SUM(F2:F321)</f>
        <v>2899571.15</v>
      </c>
    </row>
  </sheetData>
  <autoFilter ref="A1:M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 customFormat="false" ht="15" hidden="false" customHeight="false" outlineLevel="0" collapsed="false">
      <c r="A2" s="5" t="s">
        <v>34</v>
      </c>
      <c r="B2" s="6" t="n">
        <v>45798</v>
      </c>
      <c r="C2" s="5" t="s">
        <v>35</v>
      </c>
      <c r="D2" s="5" t="s">
        <v>36</v>
      </c>
      <c r="E2" s="5" t="s">
        <v>37</v>
      </c>
      <c r="F2" s="7" t="n">
        <v>4564.48</v>
      </c>
      <c r="G2" s="5" t="s">
        <v>38</v>
      </c>
      <c r="H2" s="5" t="s">
        <v>39</v>
      </c>
      <c r="I2" s="5" t="s">
        <v>40</v>
      </c>
      <c r="J2" s="5"/>
    </row>
    <row r="3" customFormat="false" ht="15" hidden="false" customHeight="false" outlineLevel="0" collapsed="false">
      <c r="A3" s="8" t="s">
        <v>41</v>
      </c>
      <c r="B3" s="9" t="n">
        <v>45960</v>
      </c>
      <c r="C3" s="8" t="s">
        <v>42</v>
      </c>
      <c r="D3" s="8" t="s">
        <v>43</v>
      </c>
      <c r="E3" s="8" t="s">
        <v>44</v>
      </c>
      <c r="F3" s="10" t="n">
        <v>7831.57</v>
      </c>
      <c r="G3" s="8" t="s">
        <v>45</v>
      </c>
      <c r="H3" s="8" t="s">
        <v>46</v>
      </c>
      <c r="I3" s="8" t="s">
        <v>47</v>
      </c>
      <c r="J3" s="8"/>
    </row>
    <row r="4" customFormat="false" ht="15" hidden="false" customHeight="false" outlineLevel="0" collapsed="false">
      <c r="A4" s="5" t="s">
        <v>48</v>
      </c>
      <c r="B4" s="6" t="n">
        <v>45966</v>
      </c>
      <c r="C4" s="5" t="s">
        <v>49</v>
      </c>
      <c r="D4" s="5" t="s">
        <v>50</v>
      </c>
      <c r="E4" s="5" t="s">
        <v>51</v>
      </c>
      <c r="F4" s="7" t="n">
        <v>534.72</v>
      </c>
      <c r="G4" s="5" t="s">
        <v>38</v>
      </c>
      <c r="H4" s="5" t="s">
        <v>39</v>
      </c>
      <c r="I4" s="5" t="s">
        <v>52</v>
      </c>
      <c r="J4" s="5"/>
    </row>
    <row r="5" customFormat="false" ht="15" hidden="false" customHeight="false" outlineLevel="0" collapsed="false">
      <c r="A5" s="8" t="s">
        <v>53</v>
      </c>
      <c r="B5" s="9" t="n">
        <v>45887</v>
      </c>
      <c r="C5" s="8" t="s">
        <v>54</v>
      </c>
      <c r="D5" s="8" t="s">
        <v>55</v>
      </c>
      <c r="E5" s="8" t="s">
        <v>56</v>
      </c>
      <c r="F5" s="10" t="n">
        <v>10919.9</v>
      </c>
      <c r="G5" s="8" t="s">
        <v>45</v>
      </c>
      <c r="H5" s="8" t="s">
        <v>46</v>
      </c>
      <c r="I5" s="8" t="s">
        <v>57</v>
      </c>
      <c r="J5" s="8"/>
    </row>
    <row r="6" customFormat="false" ht="15" hidden="false" customHeight="false" outlineLevel="0" collapsed="false">
      <c r="A6" s="5" t="s">
        <v>58</v>
      </c>
      <c r="B6" s="6" t="n">
        <v>45737</v>
      </c>
      <c r="C6" s="5" t="s">
        <v>59</v>
      </c>
      <c r="D6" s="5" t="s">
        <v>60</v>
      </c>
      <c r="E6" s="5" t="s">
        <v>61</v>
      </c>
      <c r="F6" s="7" t="n">
        <v>4018.62</v>
      </c>
      <c r="G6" s="5" t="s">
        <v>62</v>
      </c>
      <c r="H6" s="5" t="s">
        <v>46</v>
      </c>
      <c r="I6" s="5" t="s">
        <v>40</v>
      </c>
      <c r="J6" s="5"/>
    </row>
    <row r="7" customFormat="false" ht="15" hidden="false" customHeight="false" outlineLevel="0" collapsed="false">
      <c r="A7" s="8" t="s">
        <v>64</v>
      </c>
      <c r="B7" s="9" t="n">
        <v>45841</v>
      </c>
      <c r="C7" s="8" t="s">
        <v>65</v>
      </c>
      <c r="D7" s="8" t="s">
        <v>66</v>
      </c>
      <c r="E7" s="8" t="s">
        <v>67</v>
      </c>
      <c r="F7" s="10" t="n">
        <v>15685.51</v>
      </c>
      <c r="G7" s="8" t="s">
        <v>62</v>
      </c>
      <c r="H7" s="8" t="s">
        <v>46</v>
      </c>
      <c r="I7" s="8" t="s">
        <v>57</v>
      </c>
      <c r="J7" s="8"/>
    </row>
    <row r="8" customFormat="false" ht="15" hidden="false" customHeight="false" outlineLevel="0" collapsed="false">
      <c r="A8" s="5" t="s">
        <v>68</v>
      </c>
      <c r="B8" s="6" t="n">
        <v>45851</v>
      </c>
      <c r="C8" s="5" t="s">
        <v>42</v>
      </c>
      <c r="D8" s="5" t="s">
        <v>69</v>
      </c>
      <c r="E8" s="5" t="s">
        <v>44</v>
      </c>
      <c r="F8" s="7" t="n">
        <v>1499.26</v>
      </c>
      <c r="G8" s="5" t="s">
        <v>62</v>
      </c>
      <c r="H8" s="5" t="s">
        <v>39</v>
      </c>
      <c r="I8" s="5" t="s">
        <v>52</v>
      </c>
      <c r="J8" s="5"/>
    </row>
    <row r="9" customFormat="false" ht="15" hidden="false" customHeight="false" outlineLevel="0" collapsed="false">
      <c r="A9" s="8" t="s">
        <v>70</v>
      </c>
      <c r="B9" s="9" t="n">
        <v>45756</v>
      </c>
      <c r="C9" s="8" t="s">
        <v>71</v>
      </c>
      <c r="D9" s="8" t="s">
        <v>72</v>
      </c>
      <c r="E9" s="8" t="s">
        <v>73</v>
      </c>
      <c r="F9" s="10" t="n">
        <v>13047.87</v>
      </c>
      <c r="G9" s="8" t="s">
        <v>45</v>
      </c>
      <c r="H9" s="8" t="s">
        <v>39</v>
      </c>
      <c r="I9" s="8" t="s">
        <v>47</v>
      </c>
      <c r="J9" s="8"/>
    </row>
    <row r="10" customFormat="false" ht="15" hidden="false" customHeight="false" outlineLevel="0" collapsed="false">
      <c r="A10" s="5" t="s">
        <v>74</v>
      </c>
      <c r="B10" s="6" t="n">
        <v>45777</v>
      </c>
      <c r="C10" s="5" t="s">
        <v>75</v>
      </c>
      <c r="D10" s="5" t="s">
        <v>76</v>
      </c>
      <c r="E10" s="5" t="s">
        <v>77</v>
      </c>
      <c r="F10" s="7" t="n">
        <v>16035.96</v>
      </c>
      <c r="G10" s="5" t="s">
        <v>78</v>
      </c>
      <c r="H10" s="5" t="s">
        <v>79</v>
      </c>
      <c r="I10" s="5" t="s">
        <v>57</v>
      </c>
      <c r="J10" s="5"/>
    </row>
    <row r="11" customFormat="false" ht="15" hidden="false" customHeight="false" outlineLevel="0" collapsed="false">
      <c r="A11" s="8" t="s">
        <v>80</v>
      </c>
      <c r="B11" s="9" t="n">
        <v>45847</v>
      </c>
      <c r="C11" s="8" t="s">
        <v>71</v>
      </c>
      <c r="D11" s="8" t="s">
        <v>81</v>
      </c>
      <c r="E11" s="8" t="s">
        <v>73</v>
      </c>
      <c r="F11" s="10" t="n">
        <v>6601.52</v>
      </c>
      <c r="G11" s="8" t="s">
        <v>62</v>
      </c>
      <c r="H11" s="8" t="s">
        <v>39</v>
      </c>
      <c r="I11" s="8" t="s">
        <v>40</v>
      </c>
      <c r="J11" s="8"/>
    </row>
    <row r="12" customFormat="false" ht="15" hidden="false" customHeight="false" outlineLevel="0" collapsed="false">
      <c r="A12" s="5" t="s">
        <v>82</v>
      </c>
      <c r="B12" s="6" t="n">
        <v>45745</v>
      </c>
      <c r="C12" s="5" t="s">
        <v>83</v>
      </c>
      <c r="D12" s="5" t="s">
        <v>84</v>
      </c>
      <c r="E12" s="5" t="s">
        <v>85</v>
      </c>
      <c r="F12" s="7" t="n">
        <v>9902.55</v>
      </c>
      <c r="G12" s="5" t="s">
        <v>38</v>
      </c>
      <c r="H12" s="5" t="s">
        <v>46</v>
      </c>
      <c r="I12" s="5" t="s">
        <v>57</v>
      </c>
      <c r="J12" s="5"/>
    </row>
    <row r="13" customFormat="false" ht="15" hidden="false" customHeight="false" outlineLevel="0" collapsed="false">
      <c r="A13" s="8" t="s">
        <v>86</v>
      </c>
      <c r="B13" s="9" t="n">
        <v>45985</v>
      </c>
      <c r="C13" s="8" t="s">
        <v>65</v>
      </c>
      <c r="D13" s="8" t="s">
        <v>87</v>
      </c>
      <c r="E13" s="8" t="s">
        <v>67</v>
      </c>
      <c r="F13" s="10" t="n">
        <v>12745.03</v>
      </c>
      <c r="G13" s="8" t="s">
        <v>38</v>
      </c>
      <c r="H13" s="8" t="s">
        <v>39</v>
      </c>
      <c r="I13" s="8" t="s">
        <v>88</v>
      </c>
      <c r="J13" s="8"/>
    </row>
    <row r="14" customFormat="false" ht="15" hidden="false" customHeight="false" outlineLevel="0" collapsed="false">
      <c r="A14" s="5" t="s">
        <v>89</v>
      </c>
      <c r="B14" s="6" t="n">
        <v>45674</v>
      </c>
      <c r="C14" s="5" t="s">
        <v>90</v>
      </c>
      <c r="D14" s="5" t="s">
        <v>91</v>
      </c>
      <c r="E14" s="5" t="s">
        <v>92</v>
      </c>
      <c r="F14" s="7" t="n">
        <v>14902.12</v>
      </c>
      <c r="G14" s="5" t="s">
        <v>78</v>
      </c>
      <c r="H14" s="5" t="s">
        <v>79</v>
      </c>
      <c r="I14" s="5" t="s">
        <v>40</v>
      </c>
      <c r="J14" s="5"/>
    </row>
    <row r="15" customFormat="false" ht="15" hidden="false" customHeight="false" outlineLevel="0" collapsed="false">
      <c r="A15" s="8" t="s">
        <v>93</v>
      </c>
      <c r="B15" s="9" t="n">
        <v>45819</v>
      </c>
      <c r="C15" s="8" t="s">
        <v>94</v>
      </c>
      <c r="D15" s="8" t="s">
        <v>95</v>
      </c>
      <c r="E15" s="8" t="s">
        <v>96</v>
      </c>
      <c r="F15" s="10" t="n">
        <v>3969.02</v>
      </c>
      <c r="G15" s="8" t="s">
        <v>78</v>
      </c>
      <c r="H15" s="8" t="s">
        <v>79</v>
      </c>
      <c r="I15" s="8" t="s">
        <v>57</v>
      </c>
      <c r="J15" s="8"/>
    </row>
    <row r="16" customFormat="false" ht="15" hidden="false" customHeight="false" outlineLevel="0" collapsed="false">
      <c r="A16" s="5" t="s">
        <v>97</v>
      </c>
      <c r="B16" s="6" t="n">
        <v>45729</v>
      </c>
      <c r="C16" s="5" t="s">
        <v>98</v>
      </c>
      <c r="D16" s="5" t="s">
        <v>99</v>
      </c>
      <c r="E16" s="5" t="s">
        <v>100</v>
      </c>
      <c r="F16" s="7" t="n">
        <v>4596.51</v>
      </c>
      <c r="G16" s="5" t="s">
        <v>62</v>
      </c>
      <c r="H16" s="5" t="s">
        <v>39</v>
      </c>
      <c r="I16" s="5" t="s">
        <v>52</v>
      </c>
      <c r="J16" s="5"/>
    </row>
    <row r="17" customFormat="false" ht="15" hidden="false" customHeight="false" outlineLevel="0" collapsed="false">
      <c r="A17" s="8" t="s">
        <v>101</v>
      </c>
      <c r="B17" s="9" t="n">
        <v>45862</v>
      </c>
      <c r="C17" s="8" t="s">
        <v>54</v>
      </c>
      <c r="D17" s="8" t="s">
        <v>102</v>
      </c>
      <c r="E17" s="8" t="s">
        <v>56</v>
      </c>
      <c r="F17" s="10" t="n">
        <v>6725.64</v>
      </c>
      <c r="G17" s="8" t="s">
        <v>38</v>
      </c>
      <c r="H17" s="8" t="s">
        <v>39</v>
      </c>
      <c r="I17" s="8" t="s">
        <v>57</v>
      </c>
      <c r="J17" s="8"/>
    </row>
    <row r="18" customFormat="false" ht="15" hidden="false" customHeight="false" outlineLevel="0" collapsed="false">
      <c r="A18" s="5" t="s">
        <v>103</v>
      </c>
      <c r="B18" s="6" t="n">
        <v>45714</v>
      </c>
      <c r="C18" s="5" t="s">
        <v>104</v>
      </c>
      <c r="D18" s="5" t="s">
        <v>105</v>
      </c>
      <c r="E18" s="5" t="s">
        <v>106</v>
      </c>
      <c r="F18" s="7" t="n">
        <v>2865.69</v>
      </c>
      <c r="G18" s="5" t="s">
        <v>38</v>
      </c>
      <c r="H18" s="5" t="s">
        <v>39</v>
      </c>
      <c r="I18" s="5" t="s">
        <v>57</v>
      </c>
      <c r="J18" s="5"/>
    </row>
    <row r="19" customFormat="false" ht="15" hidden="false" customHeight="false" outlineLevel="0" collapsed="false">
      <c r="A19" s="8" t="s">
        <v>107</v>
      </c>
      <c r="B19" s="9" t="n">
        <v>45855</v>
      </c>
      <c r="C19" s="8" t="s">
        <v>83</v>
      </c>
      <c r="D19" s="8" t="s">
        <v>108</v>
      </c>
      <c r="E19" s="8" t="s">
        <v>85</v>
      </c>
      <c r="F19" s="10" t="n">
        <v>7087.78</v>
      </c>
      <c r="G19" s="8" t="s">
        <v>78</v>
      </c>
      <c r="H19" s="8" t="s">
        <v>39</v>
      </c>
      <c r="I19" s="8" t="s">
        <v>88</v>
      </c>
      <c r="J19" s="8"/>
    </row>
    <row r="20" customFormat="false" ht="15" hidden="false" customHeight="false" outlineLevel="0" collapsed="false">
      <c r="A20" s="5" t="s">
        <v>109</v>
      </c>
      <c r="B20" s="6" t="n">
        <v>46006</v>
      </c>
      <c r="C20" s="5" t="s">
        <v>42</v>
      </c>
      <c r="D20" s="5" t="s">
        <v>110</v>
      </c>
      <c r="E20" s="5" t="s">
        <v>44</v>
      </c>
      <c r="F20" s="7" t="n">
        <v>13345.92</v>
      </c>
      <c r="G20" s="5" t="s">
        <v>62</v>
      </c>
      <c r="H20" s="5" t="s">
        <v>39</v>
      </c>
      <c r="I20" s="5" t="s">
        <v>88</v>
      </c>
      <c r="J20" s="5"/>
    </row>
    <row r="21" customFormat="false" ht="15" hidden="false" customHeight="false" outlineLevel="0" collapsed="false">
      <c r="A21" s="8" t="s">
        <v>111</v>
      </c>
      <c r="B21" s="9" t="n">
        <v>45880</v>
      </c>
      <c r="C21" s="8" t="s">
        <v>35</v>
      </c>
      <c r="D21" s="8" t="s">
        <v>112</v>
      </c>
      <c r="E21" s="8" t="s">
        <v>37</v>
      </c>
      <c r="F21" s="10" t="n">
        <v>2963.8</v>
      </c>
      <c r="G21" s="8" t="s">
        <v>45</v>
      </c>
      <c r="H21" s="8" t="s">
        <v>39</v>
      </c>
      <c r="I21" s="8" t="s">
        <v>88</v>
      </c>
      <c r="J21" s="8"/>
    </row>
    <row r="22" customFormat="false" ht="15" hidden="false" customHeight="false" outlineLevel="0" collapsed="false">
      <c r="A22" s="5" t="s">
        <v>113</v>
      </c>
      <c r="B22" s="6" t="n">
        <v>45917</v>
      </c>
      <c r="C22" s="5" t="s">
        <v>114</v>
      </c>
      <c r="D22" s="5" t="s">
        <v>115</v>
      </c>
      <c r="E22" s="5" t="s">
        <v>116</v>
      </c>
      <c r="F22" s="7" t="n">
        <v>16887.55</v>
      </c>
      <c r="G22" s="5" t="s">
        <v>62</v>
      </c>
      <c r="H22" s="5" t="s">
        <v>39</v>
      </c>
      <c r="I22" s="5" t="s">
        <v>52</v>
      </c>
      <c r="J22" s="5"/>
    </row>
    <row r="23" customFormat="false" ht="15" hidden="false" customHeight="false" outlineLevel="0" collapsed="false">
      <c r="A23" s="8" t="s">
        <v>117</v>
      </c>
      <c r="B23" s="9" t="n">
        <v>45736</v>
      </c>
      <c r="C23" s="8" t="s">
        <v>83</v>
      </c>
      <c r="D23" s="8" t="s">
        <v>118</v>
      </c>
      <c r="E23" s="8" t="s">
        <v>85</v>
      </c>
      <c r="F23" s="10" t="n">
        <v>6945.58</v>
      </c>
      <c r="G23" s="8" t="s">
        <v>38</v>
      </c>
      <c r="H23" s="8" t="s">
        <v>39</v>
      </c>
      <c r="I23" s="8" t="s">
        <v>52</v>
      </c>
      <c r="J23" s="8"/>
    </row>
    <row r="24" customFormat="false" ht="15" hidden="false" customHeight="false" outlineLevel="0" collapsed="false">
      <c r="A24" s="5" t="s">
        <v>119</v>
      </c>
      <c r="B24" s="6" t="n">
        <v>45823</v>
      </c>
      <c r="C24" s="5" t="s">
        <v>120</v>
      </c>
      <c r="D24" s="5" t="s">
        <v>121</v>
      </c>
      <c r="E24" s="5" t="s">
        <v>122</v>
      </c>
      <c r="F24" s="7" t="n">
        <v>9062.22</v>
      </c>
      <c r="G24" s="5" t="s">
        <v>45</v>
      </c>
      <c r="H24" s="5" t="s">
        <v>79</v>
      </c>
      <c r="I24" s="5" t="s">
        <v>88</v>
      </c>
      <c r="J24" s="5"/>
    </row>
    <row r="25" customFormat="false" ht="15" hidden="false" customHeight="false" outlineLevel="0" collapsed="false">
      <c r="A25" s="8" t="s">
        <v>123</v>
      </c>
      <c r="B25" s="9" t="n">
        <v>45781</v>
      </c>
      <c r="C25" s="8" t="s">
        <v>49</v>
      </c>
      <c r="D25" s="8" t="s">
        <v>124</v>
      </c>
      <c r="E25" s="8" t="s">
        <v>51</v>
      </c>
      <c r="F25" s="10" t="n">
        <v>16248.67</v>
      </c>
      <c r="G25" s="8" t="s">
        <v>45</v>
      </c>
      <c r="H25" s="8" t="s">
        <v>46</v>
      </c>
      <c r="I25" s="8" t="s">
        <v>57</v>
      </c>
      <c r="J25" s="8"/>
    </row>
    <row r="26" customFormat="false" ht="15" hidden="false" customHeight="false" outlineLevel="0" collapsed="false">
      <c r="A26" s="5" t="s">
        <v>125</v>
      </c>
      <c r="B26" s="6" t="n">
        <v>45722</v>
      </c>
      <c r="C26" s="5" t="s">
        <v>104</v>
      </c>
      <c r="D26" s="5" t="s">
        <v>126</v>
      </c>
      <c r="E26" s="5" t="s">
        <v>106</v>
      </c>
      <c r="F26" s="7" t="n">
        <v>2414.46</v>
      </c>
      <c r="G26" s="5" t="s">
        <v>78</v>
      </c>
      <c r="H26" s="5" t="s">
        <v>39</v>
      </c>
      <c r="I26" s="5" t="s">
        <v>47</v>
      </c>
      <c r="J26" s="5"/>
    </row>
    <row r="27" customFormat="false" ht="15" hidden="false" customHeight="false" outlineLevel="0" collapsed="false">
      <c r="A27" s="8" t="s">
        <v>127</v>
      </c>
      <c r="B27" s="9" t="n">
        <v>45968</v>
      </c>
      <c r="C27" s="8" t="s">
        <v>128</v>
      </c>
      <c r="D27" s="8" t="s">
        <v>129</v>
      </c>
      <c r="E27" s="8" t="s">
        <v>130</v>
      </c>
      <c r="F27" s="10" t="n">
        <v>7854.01</v>
      </c>
      <c r="G27" s="8" t="s">
        <v>38</v>
      </c>
      <c r="H27" s="8" t="s">
        <v>39</v>
      </c>
      <c r="I27" s="8" t="s">
        <v>47</v>
      </c>
      <c r="J27" s="8"/>
    </row>
    <row r="28" customFormat="false" ht="15" hidden="false" customHeight="false" outlineLevel="0" collapsed="false">
      <c r="A28" s="5" t="s">
        <v>131</v>
      </c>
      <c r="B28" s="6" t="n">
        <v>46001</v>
      </c>
      <c r="C28" s="5" t="s">
        <v>75</v>
      </c>
      <c r="D28" s="5" t="s">
        <v>132</v>
      </c>
      <c r="E28" s="5" t="s">
        <v>77</v>
      </c>
      <c r="F28" s="7" t="n">
        <v>12038.5</v>
      </c>
      <c r="G28" s="5" t="s">
        <v>78</v>
      </c>
      <c r="H28" s="5" t="s">
        <v>39</v>
      </c>
      <c r="I28" s="5" t="s">
        <v>57</v>
      </c>
      <c r="J28" s="5"/>
    </row>
    <row r="29" customFormat="false" ht="15" hidden="false" customHeight="false" outlineLevel="0" collapsed="false">
      <c r="A29" s="8" t="s">
        <v>133</v>
      </c>
      <c r="B29" s="9" t="n">
        <v>45773</v>
      </c>
      <c r="C29" s="8" t="s">
        <v>35</v>
      </c>
      <c r="D29" s="8" t="s">
        <v>134</v>
      </c>
      <c r="E29" s="8" t="s">
        <v>37</v>
      </c>
      <c r="F29" s="10" t="n">
        <v>1226.6</v>
      </c>
      <c r="G29" s="8" t="s">
        <v>45</v>
      </c>
      <c r="H29" s="8" t="s">
        <v>39</v>
      </c>
      <c r="I29" s="8" t="s">
        <v>52</v>
      </c>
      <c r="J29" s="8"/>
    </row>
    <row r="30" customFormat="false" ht="15" hidden="false" customHeight="false" outlineLevel="0" collapsed="false">
      <c r="A30" s="5" t="s">
        <v>135</v>
      </c>
      <c r="B30" s="6" t="n">
        <v>45770</v>
      </c>
      <c r="C30" s="5" t="s">
        <v>49</v>
      </c>
      <c r="D30" s="5" t="s">
        <v>136</v>
      </c>
      <c r="E30" s="5" t="s">
        <v>51</v>
      </c>
      <c r="F30" s="7" t="n">
        <v>177.71</v>
      </c>
      <c r="G30" s="5" t="s">
        <v>45</v>
      </c>
      <c r="H30" s="5" t="s">
        <v>46</v>
      </c>
      <c r="I30" s="5" t="s">
        <v>40</v>
      </c>
      <c r="J30" s="5"/>
    </row>
    <row r="31" customFormat="false" ht="15" hidden="false" customHeight="false" outlineLevel="0" collapsed="false">
      <c r="A31" s="8" t="s">
        <v>137</v>
      </c>
      <c r="B31" s="9" t="n">
        <v>45694</v>
      </c>
      <c r="C31" s="8" t="s">
        <v>90</v>
      </c>
      <c r="D31" s="8" t="s">
        <v>138</v>
      </c>
      <c r="E31" s="8" t="s">
        <v>92</v>
      </c>
      <c r="F31" s="10" t="n">
        <v>9533.75</v>
      </c>
      <c r="G31" s="8" t="s">
        <v>62</v>
      </c>
      <c r="H31" s="8" t="s">
        <v>39</v>
      </c>
      <c r="I31" s="8" t="s">
        <v>57</v>
      </c>
      <c r="J31" s="8"/>
    </row>
    <row r="32" customFormat="false" ht="15" hidden="false" customHeight="false" outlineLevel="0" collapsed="false">
      <c r="A32" s="5" t="s">
        <v>139</v>
      </c>
      <c r="B32" s="6" t="n">
        <v>45725</v>
      </c>
      <c r="C32" s="5" t="s">
        <v>94</v>
      </c>
      <c r="D32" s="5" t="s">
        <v>725</v>
      </c>
      <c r="E32" s="5" t="s">
        <v>96</v>
      </c>
      <c r="F32" s="7" t="n">
        <v>13394.47</v>
      </c>
      <c r="G32" s="5" t="s">
        <v>78</v>
      </c>
      <c r="H32" s="5" t="s">
        <v>46</v>
      </c>
      <c r="I32" s="5" t="s">
        <v>57</v>
      </c>
      <c r="J32" s="5"/>
    </row>
    <row r="33" customFormat="false" ht="15" hidden="false" customHeight="false" outlineLevel="0" collapsed="false">
      <c r="A33" s="8" t="s">
        <v>141</v>
      </c>
      <c r="B33" s="9" t="n">
        <v>45706</v>
      </c>
      <c r="C33" s="8" t="s">
        <v>54</v>
      </c>
      <c r="D33" s="8" t="s">
        <v>142</v>
      </c>
      <c r="E33" s="8" t="s">
        <v>56</v>
      </c>
      <c r="F33" s="10" t="n">
        <v>1833.86</v>
      </c>
      <c r="G33" s="8" t="s">
        <v>78</v>
      </c>
      <c r="H33" s="8" t="s">
        <v>79</v>
      </c>
      <c r="I33" s="8" t="s">
        <v>57</v>
      </c>
      <c r="J33" s="8"/>
    </row>
    <row r="34" customFormat="false" ht="15" hidden="false" customHeight="false" outlineLevel="0" collapsed="false">
      <c r="A34" s="5" t="s">
        <v>143</v>
      </c>
      <c r="B34" s="6" t="n">
        <v>45685</v>
      </c>
      <c r="C34" s="5" t="s">
        <v>54</v>
      </c>
      <c r="D34" s="5" t="s">
        <v>144</v>
      </c>
      <c r="E34" s="5" t="s">
        <v>56</v>
      </c>
      <c r="F34" s="7" t="n">
        <v>12471.94</v>
      </c>
      <c r="G34" s="5" t="s">
        <v>45</v>
      </c>
      <c r="H34" s="5" t="s">
        <v>46</v>
      </c>
      <c r="I34" s="5" t="s">
        <v>57</v>
      </c>
      <c r="J34" s="5"/>
    </row>
    <row r="35" customFormat="false" ht="15" hidden="false" customHeight="false" outlineLevel="0" collapsed="false">
      <c r="A35" s="8" t="s">
        <v>145</v>
      </c>
      <c r="B35" s="9" t="n">
        <v>45785</v>
      </c>
      <c r="C35" s="8" t="s">
        <v>59</v>
      </c>
      <c r="D35" s="8" t="s">
        <v>146</v>
      </c>
      <c r="E35" s="8" t="s">
        <v>61</v>
      </c>
      <c r="F35" s="10" t="n">
        <v>3580.79</v>
      </c>
      <c r="G35" s="8" t="s">
        <v>78</v>
      </c>
      <c r="H35" s="8" t="s">
        <v>46</v>
      </c>
      <c r="I35" s="8" t="s">
        <v>57</v>
      </c>
      <c r="J35" s="8"/>
    </row>
    <row r="36" customFormat="false" ht="15" hidden="false" customHeight="false" outlineLevel="0" collapsed="false">
      <c r="A36" s="5" t="s">
        <v>147</v>
      </c>
      <c r="B36" s="6" t="n">
        <v>45894</v>
      </c>
      <c r="C36" s="5" t="s">
        <v>148</v>
      </c>
      <c r="D36" s="5" t="s">
        <v>149</v>
      </c>
      <c r="E36" s="5" t="s">
        <v>150</v>
      </c>
      <c r="F36" s="7" t="n">
        <v>4655.18</v>
      </c>
      <c r="G36" s="5" t="s">
        <v>45</v>
      </c>
      <c r="H36" s="5" t="s">
        <v>79</v>
      </c>
      <c r="I36" s="5" t="s">
        <v>52</v>
      </c>
      <c r="J36" s="5"/>
    </row>
    <row r="37" customFormat="false" ht="15" hidden="false" customHeight="false" outlineLevel="0" collapsed="false">
      <c r="A37" s="8" t="s">
        <v>151</v>
      </c>
      <c r="B37" s="9" t="n">
        <v>45991</v>
      </c>
      <c r="C37" s="8" t="s">
        <v>35</v>
      </c>
      <c r="D37" s="8" t="s">
        <v>152</v>
      </c>
      <c r="E37" s="8" t="s">
        <v>37</v>
      </c>
      <c r="F37" s="10" t="n">
        <v>18486.76</v>
      </c>
      <c r="G37" s="8" t="s">
        <v>45</v>
      </c>
      <c r="H37" s="8" t="s">
        <v>46</v>
      </c>
      <c r="I37" s="8" t="s">
        <v>47</v>
      </c>
      <c r="J37" s="8"/>
    </row>
    <row r="38" customFormat="false" ht="15" hidden="false" customHeight="false" outlineLevel="0" collapsed="false">
      <c r="A38" s="5" t="s">
        <v>153</v>
      </c>
      <c r="B38" s="6" t="n">
        <v>45906</v>
      </c>
      <c r="C38" s="5" t="s">
        <v>148</v>
      </c>
      <c r="D38" s="5" t="s">
        <v>154</v>
      </c>
      <c r="E38" s="5" t="s">
        <v>150</v>
      </c>
      <c r="F38" s="7" t="n">
        <v>8928.47</v>
      </c>
      <c r="G38" s="5" t="s">
        <v>78</v>
      </c>
      <c r="H38" s="5" t="s">
        <v>46</v>
      </c>
      <c r="I38" s="5" t="s">
        <v>47</v>
      </c>
      <c r="J38" s="5"/>
    </row>
    <row r="39" customFormat="false" ht="15" hidden="false" customHeight="false" outlineLevel="0" collapsed="false">
      <c r="A39" s="8" t="s">
        <v>155</v>
      </c>
      <c r="B39" s="9" t="n">
        <v>45857</v>
      </c>
      <c r="C39" s="8" t="s">
        <v>65</v>
      </c>
      <c r="D39" s="8" t="s">
        <v>156</v>
      </c>
      <c r="E39" s="8" t="s">
        <v>67</v>
      </c>
      <c r="F39" s="10" t="n">
        <v>4939.32</v>
      </c>
      <c r="G39" s="8" t="s">
        <v>78</v>
      </c>
      <c r="H39" s="8" t="s">
        <v>79</v>
      </c>
      <c r="I39" s="8" t="s">
        <v>57</v>
      </c>
      <c r="J39" s="8"/>
    </row>
    <row r="40" customFormat="false" ht="15" hidden="false" customHeight="false" outlineLevel="0" collapsed="false">
      <c r="A40" s="5" t="s">
        <v>157</v>
      </c>
      <c r="B40" s="6" t="n">
        <v>45907</v>
      </c>
      <c r="C40" s="5" t="s">
        <v>42</v>
      </c>
      <c r="D40" s="5" t="s">
        <v>158</v>
      </c>
      <c r="E40" s="5" t="s">
        <v>44</v>
      </c>
      <c r="F40" s="7" t="n">
        <v>2901.78</v>
      </c>
      <c r="G40" s="5" t="s">
        <v>62</v>
      </c>
      <c r="H40" s="5" t="s">
        <v>46</v>
      </c>
      <c r="I40" s="5" t="s">
        <v>40</v>
      </c>
      <c r="J40" s="5"/>
    </row>
    <row r="41" customFormat="false" ht="15" hidden="false" customHeight="false" outlineLevel="0" collapsed="false">
      <c r="A41" s="8" t="s">
        <v>159</v>
      </c>
      <c r="B41" s="9" t="n">
        <v>45689</v>
      </c>
      <c r="C41" s="8" t="s">
        <v>160</v>
      </c>
      <c r="D41" s="8" t="s">
        <v>161</v>
      </c>
      <c r="E41" s="8" t="s">
        <v>162</v>
      </c>
      <c r="F41" s="10" t="n">
        <v>13848.89</v>
      </c>
      <c r="G41" s="8" t="s">
        <v>45</v>
      </c>
      <c r="H41" s="8" t="s">
        <v>46</v>
      </c>
      <c r="I41" s="8" t="s">
        <v>52</v>
      </c>
      <c r="J41" s="8"/>
    </row>
    <row r="42" customFormat="false" ht="15" hidden="false" customHeight="false" outlineLevel="0" collapsed="false">
      <c r="A42" s="5" t="s">
        <v>163</v>
      </c>
      <c r="B42" s="6" t="n">
        <v>45929</v>
      </c>
      <c r="C42" s="5" t="s">
        <v>164</v>
      </c>
      <c r="D42" s="5" t="s">
        <v>165</v>
      </c>
      <c r="E42" s="5" t="s">
        <v>166</v>
      </c>
      <c r="F42" s="7" t="n">
        <v>2950.42</v>
      </c>
      <c r="G42" s="5" t="s">
        <v>45</v>
      </c>
      <c r="H42" s="5" t="s">
        <v>46</v>
      </c>
      <c r="I42" s="5" t="s">
        <v>40</v>
      </c>
      <c r="J42" s="5"/>
    </row>
    <row r="43" customFormat="false" ht="15" hidden="false" customHeight="false" outlineLevel="0" collapsed="false">
      <c r="A43" s="8" t="s">
        <v>167</v>
      </c>
      <c r="B43" s="9" t="n">
        <v>46003</v>
      </c>
      <c r="C43" s="8" t="s">
        <v>83</v>
      </c>
      <c r="D43" s="8" t="s">
        <v>168</v>
      </c>
      <c r="E43" s="8" t="s">
        <v>85</v>
      </c>
      <c r="F43" s="10" t="n">
        <v>15949.87</v>
      </c>
      <c r="G43" s="8" t="s">
        <v>78</v>
      </c>
      <c r="H43" s="8" t="s">
        <v>46</v>
      </c>
      <c r="I43" s="8" t="s">
        <v>52</v>
      </c>
      <c r="J43" s="8"/>
    </row>
    <row r="44" customFormat="false" ht="15" hidden="false" customHeight="false" outlineLevel="0" collapsed="false">
      <c r="A44" s="5" t="s">
        <v>169</v>
      </c>
      <c r="B44" s="6" t="n">
        <v>45962</v>
      </c>
      <c r="C44" s="5" t="s">
        <v>49</v>
      </c>
      <c r="D44" s="5" t="s">
        <v>170</v>
      </c>
      <c r="E44" s="5" t="s">
        <v>51</v>
      </c>
      <c r="F44" s="7" t="n">
        <v>778.43</v>
      </c>
      <c r="G44" s="5" t="s">
        <v>45</v>
      </c>
      <c r="H44" s="5" t="s">
        <v>79</v>
      </c>
      <c r="I44" s="5" t="s">
        <v>52</v>
      </c>
      <c r="J44" s="5"/>
    </row>
    <row r="45" customFormat="false" ht="15" hidden="false" customHeight="false" outlineLevel="0" collapsed="false">
      <c r="A45" s="8" t="s">
        <v>171</v>
      </c>
      <c r="B45" s="9" t="n">
        <v>45819</v>
      </c>
      <c r="C45" s="8" t="s">
        <v>160</v>
      </c>
      <c r="D45" s="8" t="s">
        <v>172</v>
      </c>
      <c r="E45" s="8" t="s">
        <v>162</v>
      </c>
      <c r="F45" s="10" t="n">
        <v>17295</v>
      </c>
      <c r="G45" s="8" t="s">
        <v>38</v>
      </c>
      <c r="H45" s="8" t="s">
        <v>39</v>
      </c>
      <c r="I45" s="8" t="s">
        <v>88</v>
      </c>
      <c r="J45" s="8"/>
    </row>
    <row r="46" customFormat="false" ht="15" hidden="false" customHeight="false" outlineLevel="0" collapsed="false">
      <c r="A46" s="5" t="s">
        <v>173</v>
      </c>
      <c r="B46" s="6" t="n">
        <v>45860</v>
      </c>
      <c r="C46" s="5" t="s">
        <v>49</v>
      </c>
      <c r="D46" s="5" t="s">
        <v>174</v>
      </c>
      <c r="E46" s="5" t="s">
        <v>51</v>
      </c>
      <c r="F46" s="7" t="n">
        <v>2460.36</v>
      </c>
      <c r="G46" s="5" t="s">
        <v>62</v>
      </c>
      <c r="H46" s="5" t="s">
        <v>79</v>
      </c>
      <c r="I46" s="5" t="s">
        <v>88</v>
      </c>
      <c r="J46" s="5"/>
    </row>
    <row r="47" customFormat="false" ht="15" hidden="false" customHeight="false" outlineLevel="0" collapsed="false">
      <c r="A47" s="8" t="s">
        <v>175</v>
      </c>
      <c r="B47" s="9" t="n">
        <v>45892</v>
      </c>
      <c r="C47" s="8" t="s">
        <v>104</v>
      </c>
      <c r="D47" s="8" t="s">
        <v>176</v>
      </c>
      <c r="E47" s="8" t="s">
        <v>106</v>
      </c>
      <c r="F47" s="10" t="n">
        <v>11508.49</v>
      </c>
      <c r="G47" s="8" t="s">
        <v>45</v>
      </c>
      <c r="H47" s="8" t="s">
        <v>46</v>
      </c>
      <c r="I47" s="8" t="s">
        <v>52</v>
      </c>
      <c r="J47" s="8"/>
    </row>
    <row r="48" customFormat="false" ht="15" hidden="false" customHeight="false" outlineLevel="0" collapsed="false">
      <c r="A48" s="5" t="s">
        <v>177</v>
      </c>
      <c r="B48" s="6" t="n">
        <v>45793</v>
      </c>
      <c r="C48" s="5" t="s">
        <v>94</v>
      </c>
      <c r="D48" s="5" t="s">
        <v>178</v>
      </c>
      <c r="E48" s="5" t="s">
        <v>96</v>
      </c>
      <c r="F48" s="7" t="n">
        <v>2489.49</v>
      </c>
      <c r="G48" s="5" t="s">
        <v>62</v>
      </c>
      <c r="H48" s="5" t="s">
        <v>46</v>
      </c>
      <c r="I48" s="5" t="s">
        <v>47</v>
      </c>
      <c r="J48" s="5"/>
    </row>
    <row r="49" customFormat="false" ht="15" hidden="false" customHeight="false" outlineLevel="0" collapsed="false">
      <c r="A49" s="8" t="s">
        <v>179</v>
      </c>
      <c r="B49" s="9" t="n">
        <v>45738</v>
      </c>
      <c r="C49" s="8" t="s">
        <v>71</v>
      </c>
      <c r="D49" s="8" t="s">
        <v>180</v>
      </c>
      <c r="E49" s="8" t="s">
        <v>73</v>
      </c>
      <c r="F49" s="10" t="n">
        <v>8131.7</v>
      </c>
      <c r="G49" s="8" t="s">
        <v>62</v>
      </c>
      <c r="H49" s="8" t="s">
        <v>39</v>
      </c>
      <c r="I49" s="8" t="s">
        <v>52</v>
      </c>
      <c r="J49" s="8"/>
    </row>
    <row r="50" customFormat="false" ht="15" hidden="false" customHeight="false" outlineLevel="0" collapsed="false">
      <c r="A50" s="5" t="s">
        <v>181</v>
      </c>
      <c r="B50" s="6" t="n">
        <v>45941</v>
      </c>
      <c r="C50" s="5" t="s">
        <v>120</v>
      </c>
      <c r="D50" s="5" t="s">
        <v>182</v>
      </c>
      <c r="E50" s="5" t="s">
        <v>122</v>
      </c>
      <c r="F50" s="7" t="n">
        <v>5570.03</v>
      </c>
      <c r="G50" s="5" t="s">
        <v>45</v>
      </c>
      <c r="H50" s="5" t="s">
        <v>46</v>
      </c>
      <c r="I50" s="5" t="s">
        <v>88</v>
      </c>
      <c r="J50" s="5"/>
    </row>
    <row r="51" customFormat="false" ht="15" hidden="false" customHeight="false" outlineLevel="0" collapsed="false">
      <c r="A51" s="8" t="s">
        <v>183</v>
      </c>
      <c r="B51" s="9" t="n">
        <v>45941</v>
      </c>
      <c r="C51" s="8" t="s">
        <v>35</v>
      </c>
      <c r="D51" s="8" t="s">
        <v>184</v>
      </c>
      <c r="E51" s="8" t="s">
        <v>37</v>
      </c>
      <c r="F51" s="10" t="n">
        <v>2913.79</v>
      </c>
      <c r="G51" s="8" t="s">
        <v>62</v>
      </c>
      <c r="H51" s="8" t="s">
        <v>39</v>
      </c>
      <c r="I51" s="8" t="s">
        <v>47</v>
      </c>
      <c r="J51" s="8"/>
    </row>
    <row r="52" customFormat="false" ht="15" hidden="false" customHeight="false" outlineLevel="0" collapsed="false">
      <c r="A52" s="5" t="s">
        <v>185</v>
      </c>
      <c r="B52" s="6" t="n">
        <v>46009</v>
      </c>
      <c r="C52" s="5" t="s">
        <v>59</v>
      </c>
      <c r="D52" s="5" t="s">
        <v>186</v>
      </c>
      <c r="E52" s="5" t="s">
        <v>61</v>
      </c>
      <c r="F52" s="7" t="n">
        <v>11749.86</v>
      </c>
      <c r="G52" s="5" t="s">
        <v>62</v>
      </c>
      <c r="H52" s="5" t="s">
        <v>39</v>
      </c>
      <c r="I52" s="5" t="s">
        <v>57</v>
      </c>
      <c r="J52" s="5"/>
    </row>
    <row r="53" customFormat="false" ht="15" hidden="false" customHeight="false" outlineLevel="0" collapsed="false">
      <c r="A53" s="8" t="s">
        <v>187</v>
      </c>
      <c r="B53" s="9" t="n">
        <v>45705</v>
      </c>
      <c r="C53" s="8" t="s">
        <v>128</v>
      </c>
      <c r="D53" s="8" t="s">
        <v>188</v>
      </c>
      <c r="E53" s="8" t="s">
        <v>130</v>
      </c>
      <c r="F53" s="10" t="n">
        <v>11750.72</v>
      </c>
      <c r="G53" s="8" t="s">
        <v>62</v>
      </c>
      <c r="H53" s="8" t="s">
        <v>46</v>
      </c>
      <c r="I53" s="8" t="s">
        <v>40</v>
      </c>
      <c r="J53" s="8"/>
    </row>
    <row r="54" customFormat="false" ht="15" hidden="false" customHeight="false" outlineLevel="0" collapsed="false">
      <c r="A54" s="5" t="s">
        <v>189</v>
      </c>
      <c r="B54" s="6" t="n">
        <v>45984</v>
      </c>
      <c r="C54" s="5" t="s">
        <v>59</v>
      </c>
      <c r="D54" s="5" t="s">
        <v>190</v>
      </c>
      <c r="E54" s="5" t="s">
        <v>61</v>
      </c>
      <c r="F54" s="7" t="n">
        <v>18127.17</v>
      </c>
      <c r="G54" s="5" t="s">
        <v>38</v>
      </c>
      <c r="H54" s="5" t="s">
        <v>39</v>
      </c>
      <c r="I54" s="5" t="s">
        <v>57</v>
      </c>
      <c r="J54" s="5"/>
    </row>
    <row r="55" customFormat="false" ht="15" hidden="false" customHeight="false" outlineLevel="0" collapsed="false">
      <c r="A55" s="8" t="s">
        <v>191</v>
      </c>
      <c r="B55" s="9" t="n">
        <v>45945</v>
      </c>
      <c r="C55" s="8" t="s">
        <v>42</v>
      </c>
      <c r="D55" s="8" t="s">
        <v>192</v>
      </c>
      <c r="E55" s="8" t="s">
        <v>44</v>
      </c>
      <c r="F55" s="10" t="n">
        <v>223.45</v>
      </c>
      <c r="G55" s="8" t="s">
        <v>45</v>
      </c>
      <c r="H55" s="8" t="s">
        <v>39</v>
      </c>
      <c r="I55" s="8" t="s">
        <v>47</v>
      </c>
      <c r="J55" s="8"/>
    </row>
    <row r="56" customFormat="false" ht="15" hidden="false" customHeight="false" outlineLevel="0" collapsed="false">
      <c r="A56" s="5" t="s">
        <v>193</v>
      </c>
      <c r="B56" s="6" t="n">
        <v>45847</v>
      </c>
      <c r="C56" s="5" t="s">
        <v>42</v>
      </c>
      <c r="D56" s="5" t="s">
        <v>194</v>
      </c>
      <c r="E56" s="5" t="s">
        <v>44</v>
      </c>
      <c r="F56" s="7" t="n">
        <v>10795.21</v>
      </c>
      <c r="G56" s="5" t="s">
        <v>38</v>
      </c>
      <c r="H56" s="5" t="s">
        <v>79</v>
      </c>
      <c r="I56" s="5" t="s">
        <v>47</v>
      </c>
      <c r="J56" s="5"/>
    </row>
    <row r="57" customFormat="false" ht="15" hidden="false" customHeight="false" outlineLevel="0" collapsed="false">
      <c r="A57" s="8" t="s">
        <v>195</v>
      </c>
      <c r="B57" s="9" t="n">
        <v>45844</v>
      </c>
      <c r="C57" s="8" t="s">
        <v>90</v>
      </c>
      <c r="D57" s="8" t="s">
        <v>196</v>
      </c>
      <c r="E57" s="8" t="s">
        <v>92</v>
      </c>
      <c r="F57" s="10" t="n">
        <v>16635.7</v>
      </c>
      <c r="G57" s="8" t="s">
        <v>45</v>
      </c>
      <c r="H57" s="8" t="s">
        <v>79</v>
      </c>
      <c r="I57" s="8" t="s">
        <v>47</v>
      </c>
      <c r="J57" s="8"/>
    </row>
    <row r="58" customFormat="false" ht="15" hidden="false" customHeight="false" outlineLevel="0" collapsed="false">
      <c r="A58" s="5" t="s">
        <v>197</v>
      </c>
      <c r="B58" s="6" t="n">
        <v>45710</v>
      </c>
      <c r="C58" s="5" t="s">
        <v>49</v>
      </c>
      <c r="D58" s="5" t="s">
        <v>198</v>
      </c>
      <c r="E58" s="5" t="s">
        <v>51</v>
      </c>
      <c r="F58" s="7" t="n">
        <v>6572.14</v>
      </c>
      <c r="G58" s="5" t="s">
        <v>78</v>
      </c>
      <c r="H58" s="5" t="s">
        <v>39</v>
      </c>
      <c r="I58" s="5" t="s">
        <v>47</v>
      </c>
      <c r="J58" s="5"/>
    </row>
    <row r="59" customFormat="false" ht="15" hidden="false" customHeight="false" outlineLevel="0" collapsed="false">
      <c r="A59" s="8" t="s">
        <v>199</v>
      </c>
      <c r="B59" s="9" t="n">
        <v>45748</v>
      </c>
      <c r="C59" s="8" t="s">
        <v>49</v>
      </c>
      <c r="D59" s="8" t="s">
        <v>726</v>
      </c>
      <c r="E59" s="8" t="s">
        <v>51</v>
      </c>
      <c r="F59" s="10" t="n">
        <v>16311.54</v>
      </c>
      <c r="G59" s="8" t="s">
        <v>45</v>
      </c>
      <c r="H59" s="8" t="s">
        <v>46</v>
      </c>
      <c r="I59" s="8" t="s">
        <v>88</v>
      </c>
      <c r="J59" s="8"/>
    </row>
    <row r="60" customFormat="false" ht="15" hidden="false" customHeight="false" outlineLevel="0" collapsed="false">
      <c r="A60" s="5" t="s">
        <v>201</v>
      </c>
      <c r="B60" s="6" t="n">
        <v>45785</v>
      </c>
      <c r="C60" s="5" t="s">
        <v>54</v>
      </c>
      <c r="D60" s="5" t="s">
        <v>202</v>
      </c>
      <c r="E60" s="5" t="s">
        <v>56</v>
      </c>
      <c r="F60" s="7" t="n">
        <v>4968.9</v>
      </c>
      <c r="G60" s="5" t="s">
        <v>45</v>
      </c>
      <c r="H60" s="5" t="s">
        <v>79</v>
      </c>
      <c r="I60" s="5" t="s">
        <v>40</v>
      </c>
      <c r="J60" s="5"/>
    </row>
    <row r="61" customFormat="false" ht="15" hidden="false" customHeight="false" outlineLevel="0" collapsed="false">
      <c r="A61" s="8" t="s">
        <v>203</v>
      </c>
      <c r="B61" s="9" t="n">
        <v>45760</v>
      </c>
      <c r="C61" s="8" t="s">
        <v>164</v>
      </c>
      <c r="D61" s="8" t="s">
        <v>204</v>
      </c>
      <c r="E61" s="8" t="s">
        <v>166</v>
      </c>
      <c r="F61" s="10" t="n">
        <v>15115.11</v>
      </c>
      <c r="G61" s="8" t="s">
        <v>78</v>
      </c>
      <c r="H61" s="8" t="s">
        <v>79</v>
      </c>
      <c r="I61" s="8" t="s">
        <v>88</v>
      </c>
      <c r="J61" s="8"/>
    </row>
    <row r="62" customFormat="false" ht="15" hidden="false" customHeight="false" outlineLevel="0" collapsed="false">
      <c r="A62" s="5" t="s">
        <v>205</v>
      </c>
      <c r="B62" s="6" t="n">
        <v>45670</v>
      </c>
      <c r="C62" s="5" t="s">
        <v>49</v>
      </c>
      <c r="D62" s="5" t="s">
        <v>206</v>
      </c>
      <c r="E62" s="5" t="s">
        <v>51</v>
      </c>
      <c r="F62" s="7" t="n">
        <v>12225.91</v>
      </c>
      <c r="G62" s="5" t="s">
        <v>78</v>
      </c>
      <c r="H62" s="5" t="s">
        <v>79</v>
      </c>
      <c r="I62" s="5" t="s">
        <v>88</v>
      </c>
      <c r="J62" s="5"/>
    </row>
    <row r="63" customFormat="false" ht="15" hidden="false" customHeight="false" outlineLevel="0" collapsed="false">
      <c r="A63" s="8" t="s">
        <v>207</v>
      </c>
      <c r="B63" s="9" t="n">
        <v>45837</v>
      </c>
      <c r="C63" s="8" t="s">
        <v>104</v>
      </c>
      <c r="D63" s="8" t="s">
        <v>208</v>
      </c>
      <c r="E63" s="8" t="s">
        <v>106</v>
      </c>
      <c r="F63" s="10" t="n">
        <v>11883.55</v>
      </c>
      <c r="G63" s="8" t="s">
        <v>78</v>
      </c>
      <c r="H63" s="8" t="s">
        <v>39</v>
      </c>
      <c r="I63" s="8" t="s">
        <v>52</v>
      </c>
      <c r="J63" s="8"/>
    </row>
    <row r="64" customFormat="false" ht="15" hidden="false" customHeight="false" outlineLevel="0" collapsed="false">
      <c r="A64" s="5" t="s">
        <v>209</v>
      </c>
      <c r="B64" s="6" t="n">
        <v>45717</v>
      </c>
      <c r="C64" s="5" t="s">
        <v>59</v>
      </c>
      <c r="D64" s="5" t="s">
        <v>210</v>
      </c>
      <c r="E64" s="5" t="s">
        <v>61</v>
      </c>
      <c r="F64" s="7" t="n">
        <v>16230.74</v>
      </c>
      <c r="G64" s="5" t="s">
        <v>62</v>
      </c>
      <c r="H64" s="5" t="s">
        <v>46</v>
      </c>
      <c r="I64" s="5" t="s">
        <v>52</v>
      </c>
      <c r="J64" s="5"/>
    </row>
    <row r="65" customFormat="false" ht="15" hidden="false" customHeight="false" outlineLevel="0" collapsed="false">
      <c r="A65" s="8" t="s">
        <v>211</v>
      </c>
      <c r="B65" s="9" t="n">
        <v>45713</v>
      </c>
      <c r="C65" s="8" t="s">
        <v>128</v>
      </c>
      <c r="D65" s="8" t="s">
        <v>212</v>
      </c>
      <c r="E65" s="8" t="s">
        <v>130</v>
      </c>
      <c r="F65" s="10" t="n">
        <v>11054.72</v>
      </c>
      <c r="G65" s="8" t="s">
        <v>62</v>
      </c>
      <c r="H65" s="8" t="s">
        <v>39</v>
      </c>
      <c r="I65" s="8" t="s">
        <v>88</v>
      </c>
      <c r="J65" s="8"/>
    </row>
    <row r="66" customFormat="false" ht="15" hidden="false" customHeight="false" outlineLevel="0" collapsed="false">
      <c r="A66" s="5" t="s">
        <v>213</v>
      </c>
      <c r="B66" s="6" t="n">
        <v>45919</v>
      </c>
      <c r="C66" s="5" t="s">
        <v>54</v>
      </c>
      <c r="D66" s="5" t="s">
        <v>214</v>
      </c>
      <c r="E66" s="5" t="s">
        <v>56</v>
      </c>
      <c r="F66" s="7" t="n">
        <v>2179.24</v>
      </c>
      <c r="G66" s="5" t="s">
        <v>38</v>
      </c>
      <c r="H66" s="5" t="s">
        <v>79</v>
      </c>
      <c r="I66" s="5" t="s">
        <v>40</v>
      </c>
      <c r="J66" s="5"/>
    </row>
    <row r="67" customFormat="false" ht="15" hidden="false" customHeight="false" outlineLevel="0" collapsed="false">
      <c r="A67" s="8" t="s">
        <v>215</v>
      </c>
      <c r="B67" s="9" t="n">
        <v>45924</v>
      </c>
      <c r="C67" s="8" t="s">
        <v>54</v>
      </c>
      <c r="D67" s="8" t="s">
        <v>216</v>
      </c>
      <c r="E67" s="8" t="s">
        <v>56</v>
      </c>
      <c r="F67" s="10" t="n">
        <v>17126.49</v>
      </c>
      <c r="G67" s="8" t="s">
        <v>38</v>
      </c>
      <c r="H67" s="8" t="s">
        <v>79</v>
      </c>
      <c r="I67" s="8" t="s">
        <v>57</v>
      </c>
      <c r="J67" s="8"/>
    </row>
    <row r="68" customFormat="false" ht="15" hidden="false" customHeight="false" outlineLevel="0" collapsed="false">
      <c r="A68" s="5" t="s">
        <v>217</v>
      </c>
      <c r="B68" s="6" t="n">
        <v>45827</v>
      </c>
      <c r="C68" s="5" t="s">
        <v>104</v>
      </c>
      <c r="D68" s="5" t="s">
        <v>218</v>
      </c>
      <c r="E68" s="5" t="s">
        <v>106</v>
      </c>
      <c r="F68" s="7" t="n">
        <v>11545.33</v>
      </c>
      <c r="G68" s="5" t="s">
        <v>45</v>
      </c>
      <c r="H68" s="5" t="s">
        <v>39</v>
      </c>
      <c r="I68" s="5" t="s">
        <v>88</v>
      </c>
      <c r="J68" s="5"/>
    </row>
    <row r="69" customFormat="false" ht="15" hidden="false" customHeight="false" outlineLevel="0" collapsed="false">
      <c r="A69" s="8" t="s">
        <v>219</v>
      </c>
      <c r="B69" s="9" t="n">
        <v>45999</v>
      </c>
      <c r="C69" s="8" t="s">
        <v>114</v>
      </c>
      <c r="D69" s="8" t="s">
        <v>220</v>
      </c>
      <c r="E69" s="8" t="s">
        <v>116</v>
      </c>
      <c r="F69" s="10" t="n">
        <v>7581.89</v>
      </c>
      <c r="G69" s="8" t="s">
        <v>78</v>
      </c>
      <c r="H69" s="8" t="s">
        <v>39</v>
      </c>
      <c r="I69" s="8" t="s">
        <v>88</v>
      </c>
      <c r="J69" s="8"/>
    </row>
    <row r="70" customFormat="false" ht="15" hidden="false" customHeight="false" outlineLevel="0" collapsed="false">
      <c r="A70" s="5" t="s">
        <v>221</v>
      </c>
      <c r="B70" s="6" t="n">
        <v>45756</v>
      </c>
      <c r="C70" s="5" t="s">
        <v>42</v>
      </c>
      <c r="D70" s="5" t="s">
        <v>727</v>
      </c>
      <c r="E70" s="5" t="s">
        <v>44</v>
      </c>
      <c r="F70" s="7" t="n">
        <v>7804.34</v>
      </c>
      <c r="G70" s="5" t="s">
        <v>78</v>
      </c>
      <c r="H70" s="5" t="s">
        <v>39</v>
      </c>
      <c r="I70" s="5" t="s">
        <v>47</v>
      </c>
      <c r="J70" s="5"/>
    </row>
    <row r="71" customFormat="false" ht="15" hidden="false" customHeight="false" outlineLevel="0" collapsed="false">
      <c r="A71" s="8" t="s">
        <v>223</v>
      </c>
      <c r="B71" s="9" t="n">
        <v>45812</v>
      </c>
      <c r="C71" s="8" t="s">
        <v>83</v>
      </c>
      <c r="D71" s="8" t="s">
        <v>224</v>
      </c>
      <c r="E71" s="8" t="s">
        <v>85</v>
      </c>
      <c r="F71" s="10" t="n">
        <v>7539.12</v>
      </c>
      <c r="G71" s="8" t="s">
        <v>45</v>
      </c>
      <c r="H71" s="8" t="s">
        <v>79</v>
      </c>
      <c r="I71" s="8" t="s">
        <v>88</v>
      </c>
      <c r="J71" s="8"/>
    </row>
    <row r="72" customFormat="false" ht="15" hidden="false" customHeight="false" outlineLevel="0" collapsed="false">
      <c r="A72" s="5" t="s">
        <v>225</v>
      </c>
      <c r="B72" s="6" t="n">
        <v>45954</v>
      </c>
      <c r="C72" s="5" t="s">
        <v>94</v>
      </c>
      <c r="D72" s="5" t="s">
        <v>226</v>
      </c>
      <c r="E72" s="5" t="s">
        <v>96</v>
      </c>
      <c r="F72" s="7" t="n">
        <v>11240.94</v>
      </c>
      <c r="G72" s="5" t="s">
        <v>62</v>
      </c>
      <c r="H72" s="5" t="s">
        <v>79</v>
      </c>
      <c r="I72" s="5" t="s">
        <v>57</v>
      </c>
      <c r="J72" s="5"/>
    </row>
    <row r="73" customFormat="false" ht="15" hidden="false" customHeight="false" outlineLevel="0" collapsed="false">
      <c r="A73" s="8" t="s">
        <v>227</v>
      </c>
      <c r="B73" s="9" t="n">
        <v>45767</v>
      </c>
      <c r="C73" s="8" t="s">
        <v>228</v>
      </c>
      <c r="D73" s="8" t="s">
        <v>229</v>
      </c>
      <c r="E73" s="8" t="s">
        <v>230</v>
      </c>
      <c r="F73" s="10" t="n">
        <v>9478.72</v>
      </c>
      <c r="G73" s="8" t="s">
        <v>38</v>
      </c>
      <c r="H73" s="8" t="s">
        <v>39</v>
      </c>
      <c r="I73" s="8" t="s">
        <v>40</v>
      </c>
      <c r="J73" s="8"/>
    </row>
    <row r="74" customFormat="false" ht="15" hidden="false" customHeight="false" outlineLevel="0" collapsed="false">
      <c r="A74" s="5" t="s">
        <v>231</v>
      </c>
      <c r="B74" s="6" t="n">
        <v>45997</v>
      </c>
      <c r="C74" s="5" t="s">
        <v>75</v>
      </c>
      <c r="D74" s="5" t="s">
        <v>232</v>
      </c>
      <c r="E74" s="5" t="s">
        <v>77</v>
      </c>
      <c r="F74" s="7" t="n">
        <v>11725.92</v>
      </c>
      <c r="G74" s="5" t="s">
        <v>62</v>
      </c>
      <c r="H74" s="5" t="s">
        <v>46</v>
      </c>
      <c r="I74" s="5" t="s">
        <v>47</v>
      </c>
      <c r="J74" s="5"/>
    </row>
    <row r="75" customFormat="false" ht="15" hidden="false" customHeight="false" outlineLevel="0" collapsed="false">
      <c r="A75" s="8" t="s">
        <v>233</v>
      </c>
      <c r="B75" s="9" t="n">
        <v>45759</v>
      </c>
      <c r="C75" s="8" t="s">
        <v>75</v>
      </c>
      <c r="D75" s="8" t="s">
        <v>234</v>
      </c>
      <c r="E75" s="8" t="s">
        <v>77</v>
      </c>
      <c r="F75" s="10" t="n">
        <v>2764.42</v>
      </c>
      <c r="G75" s="8" t="s">
        <v>45</v>
      </c>
      <c r="H75" s="8" t="s">
        <v>46</v>
      </c>
      <c r="I75" s="8" t="s">
        <v>57</v>
      </c>
      <c r="J75" s="8"/>
    </row>
    <row r="76" customFormat="false" ht="15" hidden="false" customHeight="false" outlineLevel="0" collapsed="false">
      <c r="A76" s="5" t="s">
        <v>235</v>
      </c>
      <c r="B76" s="6" t="n">
        <v>45891</v>
      </c>
      <c r="C76" s="5" t="s">
        <v>83</v>
      </c>
      <c r="D76" s="5" t="s">
        <v>236</v>
      </c>
      <c r="E76" s="5" t="s">
        <v>85</v>
      </c>
      <c r="F76" s="7" t="n">
        <v>7693.51</v>
      </c>
      <c r="G76" s="5" t="s">
        <v>38</v>
      </c>
      <c r="H76" s="5" t="s">
        <v>39</v>
      </c>
      <c r="I76" s="5" t="s">
        <v>57</v>
      </c>
      <c r="J76" s="5"/>
    </row>
    <row r="77" customFormat="false" ht="15" hidden="false" customHeight="false" outlineLevel="0" collapsed="false">
      <c r="A77" s="8" t="s">
        <v>237</v>
      </c>
      <c r="B77" s="9" t="n">
        <v>45782</v>
      </c>
      <c r="C77" s="8" t="s">
        <v>164</v>
      </c>
      <c r="D77" s="8" t="s">
        <v>238</v>
      </c>
      <c r="E77" s="8" t="s">
        <v>166</v>
      </c>
      <c r="F77" s="10" t="n">
        <v>2768.43</v>
      </c>
      <c r="G77" s="8" t="s">
        <v>45</v>
      </c>
      <c r="H77" s="8" t="s">
        <v>46</v>
      </c>
      <c r="I77" s="8" t="s">
        <v>57</v>
      </c>
      <c r="J77" s="8"/>
    </row>
    <row r="78" customFormat="false" ht="15" hidden="false" customHeight="false" outlineLevel="0" collapsed="false">
      <c r="A78" s="5" t="s">
        <v>239</v>
      </c>
      <c r="B78" s="6" t="n">
        <v>46014</v>
      </c>
      <c r="C78" s="5" t="s">
        <v>49</v>
      </c>
      <c r="D78" s="5" t="s">
        <v>240</v>
      </c>
      <c r="E78" s="5" t="s">
        <v>51</v>
      </c>
      <c r="F78" s="7" t="n">
        <v>9603.91</v>
      </c>
      <c r="G78" s="5" t="s">
        <v>45</v>
      </c>
      <c r="H78" s="5" t="s">
        <v>39</v>
      </c>
      <c r="I78" s="5" t="s">
        <v>47</v>
      </c>
      <c r="J78" s="5"/>
    </row>
    <row r="79" customFormat="false" ht="15" hidden="false" customHeight="false" outlineLevel="0" collapsed="false">
      <c r="A79" s="8" t="s">
        <v>241</v>
      </c>
      <c r="B79" s="9" t="n">
        <v>45726</v>
      </c>
      <c r="C79" s="8" t="s">
        <v>35</v>
      </c>
      <c r="D79" s="8" t="s">
        <v>222</v>
      </c>
      <c r="E79" s="8" t="s">
        <v>37</v>
      </c>
      <c r="F79" s="10" t="n">
        <v>14835.14</v>
      </c>
      <c r="G79" s="8" t="s">
        <v>62</v>
      </c>
      <c r="H79" s="8" t="s">
        <v>79</v>
      </c>
      <c r="I79" s="8" t="s">
        <v>52</v>
      </c>
      <c r="J79" s="8"/>
    </row>
    <row r="80" customFormat="false" ht="15" hidden="false" customHeight="false" outlineLevel="0" collapsed="false">
      <c r="A80" s="5" t="s">
        <v>242</v>
      </c>
      <c r="B80" s="6" t="n">
        <v>45938</v>
      </c>
      <c r="C80" s="5" t="s">
        <v>114</v>
      </c>
      <c r="D80" s="5" t="s">
        <v>243</v>
      </c>
      <c r="E80" s="5" t="s">
        <v>116</v>
      </c>
      <c r="F80" s="7" t="n">
        <v>8274.34</v>
      </c>
      <c r="G80" s="5" t="s">
        <v>38</v>
      </c>
      <c r="H80" s="5" t="s">
        <v>39</v>
      </c>
      <c r="I80" s="5" t="s">
        <v>57</v>
      </c>
      <c r="J80" s="5"/>
    </row>
    <row r="81" customFormat="false" ht="15" hidden="false" customHeight="false" outlineLevel="0" collapsed="false">
      <c r="A81" s="8" t="s">
        <v>244</v>
      </c>
      <c r="B81" s="9" t="n">
        <v>45784</v>
      </c>
      <c r="C81" s="8" t="s">
        <v>228</v>
      </c>
      <c r="D81" s="8" t="s">
        <v>245</v>
      </c>
      <c r="E81" s="8" t="s">
        <v>230</v>
      </c>
      <c r="F81" s="10" t="n">
        <v>15544.67</v>
      </c>
      <c r="G81" s="8" t="s">
        <v>62</v>
      </c>
      <c r="H81" s="8" t="s">
        <v>39</v>
      </c>
      <c r="I81" s="8" t="s">
        <v>57</v>
      </c>
      <c r="J81" s="8"/>
    </row>
    <row r="82" customFormat="false" ht="15" hidden="false" customHeight="false" outlineLevel="0" collapsed="false">
      <c r="A82" s="5" t="s">
        <v>246</v>
      </c>
      <c r="B82" s="6" t="n">
        <v>45883</v>
      </c>
      <c r="C82" s="5" t="s">
        <v>49</v>
      </c>
      <c r="D82" s="5" t="s">
        <v>247</v>
      </c>
      <c r="E82" s="5" t="s">
        <v>51</v>
      </c>
      <c r="F82" s="7" t="n">
        <v>1474.96</v>
      </c>
      <c r="G82" s="5" t="s">
        <v>62</v>
      </c>
      <c r="H82" s="5" t="s">
        <v>46</v>
      </c>
      <c r="I82" s="5" t="s">
        <v>88</v>
      </c>
      <c r="J82" s="5"/>
    </row>
    <row r="83" customFormat="false" ht="15" hidden="false" customHeight="false" outlineLevel="0" collapsed="false">
      <c r="A83" s="8" t="s">
        <v>248</v>
      </c>
      <c r="B83" s="9" t="n">
        <v>45934</v>
      </c>
      <c r="C83" s="8" t="s">
        <v>59</v>
      </c>
      <c r="D83" s="8" t="s">
        <v>249</v>
      </c>
      <c r="E83" s="8" t="s">
        <v>61</v>
      </c>
      <c r="F83" s="10" t="n">
        <v>1532.06</v>
      </c>
      <c r="G83" s="8" t="s">
        <v>38</v>
      </c>
      <c r="H83" s="8" t="s">
        <v>46</v>
      </c>
      <c r="I83" s="8" t="s">
        <v>57</v>
      </c>
      <c r="J83" s="8"/>
    </row>
    <row r="84" customFormat="false" ht="15" hidden="false" customHeight="false" outlineLevel="0" collapsed="false">
      <c r="A84" s="5" t="s">
        <v>250</v>
      </c>
      <c r="B84" s="6" t="n">
        <v>45690</v>
      </c>
      <c r="C84" s="5" t="s">
        <v>98</v>
      </c>
      <c r="D84" s="5" t="s">
        <v>251</v>
      </c>
      <c r="E84" s="5" t="s">
        <v>100</v>
      </c>
      <c r="F84" s="7" t="n">
        <v>7701.39</v>
      </c>
      <c r="G84" s="5" t="s">
        <v>62</v>
      </c>
      <c r="H84" s="5" t="s">
        <v>39</v>
      </c>
      <c r="I84" s="5" t="s">
        <v>57</v>
      </c>
      <c r="J84" s="5"/>
    </row>
    <row r="85" customFormat="false" ht="15" hidden="false" customHeight="false" outlineLevel="0" collapsed="false">
      <c r="A85" s="8" t="s">
        <v>252</v>
      </c>
      <c r="B85" s="9" t="n">
        <v>45763</v>
      </c>
      <c r="C85" s="8" t="s">
        <v>54</v>
      </c>
      <c r="D85" s="8" t="s">
        <v>253</v>
      </c>
      <c r="E85" s="8" t="s">
        <v>56</v>
      </c>
      <c r="F85" s="10" t="n">
        <v>15416.01</v>
      </c>
      <c r="G85" s="8" t="s">
        <v>78</v>
      </c>
      <c r="H85" s="8" t="s">
        <v>39</v>
      </c>
      <c r="I85" s="8" t="s">
        <v>40</v>
      </c>
      <c r="J85" s="8"/>
    </row>
    <row r="86" customFormat="false" ht="15" hidden="false" customHeight="false" outlineLevel="0" collapsed="false">
      <c r="A86" s="5" t="s">
        <v>254</v>
      </c>
      <c r="B86" s="6" t="n">
        <v>45902</v>
      </c>
      <c r="C86" s="5" t="s">
        <v>160</v>
      </c>
      <c r="D86" s="5" t="s">
        <v>255</v>
      </c>
      <c r="E86" s="5" t="s">
        <v>162</v>
      </c>
      <c r="F86" s="7" t="n">
        <v>153.81</v>
      </c>
      <c r="G86" s="5" t="s">
        <v>62</v>
      </c>
      <c r="H86" s="5" t="s">
        <v>79</v>
      </c>
      <c r="I86" s="5" t="s">
        <v>57</v>
      </c>
      <c r="J86" s="5"/>
    </row>
    <row r="87" customFormat="false" ht="15" hidden="false" customHeight="false" outlineLevel="0" collapsed="false">
      <c r="A87" s="8" t="s">
        <v>256</v>
      </c>
      <c r="B87" s="9" t="n">
        <v>45937</v>
      </c>
      <c r="C87" s="8" t="s">
        <v>54</v>
      </c>
      <c r="D87" s="8" t="s">
        <v>257</v>
      </c>
      <c r="E87" s="8" t="s">
        <v>56</v>
      </c>
      <c r="F87" s="10" t="n">
        <v>14806.57</v>
      </c>
      <c r="G87" s="8" t="s">
        <v>38</v>
      </c>
      <c r="H87" s="8" t="s">
        <v>79</v>
      </c>
      <c r="I87" s="8" t="s">
        <v>47</v>
      </c>
      <c r="J87" s="8"/>
    </row>
    <row r="88" customFormat="false" ht="15" hidden="false" customHeight="false" outlineLevel="0" collapsed="false">
      <c r="A88" s="5" t="s">
        <v>258</v>
      </c>
      <c r="B88" s="6" t="n">
        <v>45906</v>
      </c>
      <c r="C88" s="5" t="s">
        <v>128</v>
      </c>
      <c r="D88" s="5" t="s">
        <v>259</v>
      </c>
      <c r="E88" s="5" t="s">
        <v>130</v>
      </c>
      <c r="F88" s="7" t="n">
        <v>580.65</v>
      </c>
      <c r="G88" s="5" t="s">
        <v>62</v>
      </c>
      <c r="H88" s="5" t="s">
        <v>39</v>
      </c>
      <c r="I88" s="5" t="s">
        <v>57</v>
      </c>
      <c r="J88" s="5"/>
    </row>
    <row r="89" customFormat="false" ht="15" hidden="false" customHeight="false" outlineLevel="0" collapsed="false">
      <c r="A89" s="8" t="s">
        <v>260</v>
      </c>
      <c r="B89" s="9" t="n">
        <v>45723</v>
      </c>
      <c r="C89" s="8" t="s">
        <v>148</v>
      </c>
      <c r="D89" s="8" t="s">
        <v>261</v>
      </c>
      <c r="E89" s="8" t="s">
        <v>150</v>
      </c>
      <c r="F89" s="10" t="n">
        <v>18144.22</v>
      </c>
      <c r="G89" s="8" t="s">
        <v>45</v>
      </c>
      <c r="H89" s="8" t="s">
        <v>79</v>
      </c>
      <c r="I89" s="8" t="s">
        <v>52</v>
      </c>
      <c r="J89" s="8"/>
    </row>
    <row r="90" customFormat="false" ht="15" hidden="false" customHeight="false" outlineLevel="0" collapsed="false">
      <c r="A90" s="5" t="s">
        <v>262</v>
      </c>
      <c r="B90" s="6" t="n">
        <v>45671</v>
      </c>
      <c r="C90" s="5" t="s">
        <v>160</v>
      </c>
      <c r="D90" s="5" t="s">
        <v>263</v>
      </c>
      <c r="E90" s="5" t="s">
        <v>162</v>
      </c>
      <c r="F90" s="7" t="n">
        <v>1594.25</v>
      </c>
      <c r="G90" s="5" t="s">
        <v>78</v>
      </c>
      <c r="H90" s="5" t="s">
        <v>46</v>
      </c>
      <c r="I90" s="5" t="s">
        <v>57</v>
      </c>
      <c r="J90" s="5"/>
    </row>
    <row r="91" customFormat="false" ht="15" hidden="false" customHeight="false" outlineLevel="0" collapsed="false">
      <c r="A91" s="8" t="s">
        <v>264</v>
      </c>
      <c r="B91" s="9" t="n">
        <v>45791</v>
      </c>
      <c r="C91" s="8" t="s">
        <v>148</v>
      </c>
      <c r="D91" s="8" t="s">
        <v>265</v>
      </c>
      <c r="E91" s="8" t="s">
        <v>150</v>
      </c>
      <c r="F91" s="10" t="n">
        <v>7041.36</v>
      </c>
      <c r="G91" s="8" t="s">
        <v>38</v>
      </c>
      <c r="H91" s="8" t="s">
        <v>79</v>
      </c>
      <c r="I91" s="8" t="s">
        <v>88</v>
      </c>
      <c r="J91" s="8"/>
    </row>
    <row r="92" customFormat="false" ht="15" hidden="false" customHeight="false" outlineLevel="0" collapsed="false">
      <c r="A92" s="5" t="s">
        <v>266</v>
      </c>
      <c r="B92" s="6" t="n">
        <v>45800</v>
      </c>
      <c r="C92" s="5" t="s">
        <v>59</v>
      </c>
      <c r="D92" s="5" t="s">
        <v>267</v>
      </c>
      <c r="E92" s="5" t="s">
        <v>61</v>
      </c>
      <c r="F92" s="7" t="n">
        <v>13923.34</v>
      </c>
      <c r="G92" s="5" t="s">
        <v>78</v>
      </c>
      <c r="H92" s="5" t="s">
        <v>79</v>
      </c>
      <c r="I92" s="5" t="s">
        <v>40</v>
      </c>
      <c r="J92" s="5"/>
    </row>
    <row r="93" customFormat="false" ht="15" hidden="false" customHeight="false" outlineLevel="0" collapsed="false">
      <c r="A93" s="8" t="s">
        <v>268</v>
      </c>
      <c r="B93" s="9" t="n">
        <v>45934</v>
      </c>
      <c r="C93" s="8" t="s">
        <v>164</v>
      </c>
      <c r="D93" s="8" t="s">
        <v>269</v>
      </c>
      <c r="E93" s="8" t="s">
        <v>166</v>
      </c>
      <c r="F93" s="10" t="n">
        <v>1006.24</v>
      </c>
      <c r="G93" s="8" t="s">
        <v>62</v>
      </c>
      <c r="H93" s="8" t="s">
        <v>46</v>
      </c>
      <c r="I93" s="8" t="s">
        <v>40</v>
      </c>
      <c r="J93" s="8"/>
    </row>
    <row r="94" customFormat="false" ht="15" hidden="false" customHeight="false" outlineLevel="0" collapsed="false">
      <c r="A94" s="5" t="s">
        <v>270</v>
      </c>
      <c r="B94" s="6" t="n">
        <v>45784</v>
      </c>
      <c r="C94" s="5" t="s">
        <v>90</v>
      </c>
      <c r="D94" s="5" t="s">
        <v>271</v>
      </c>
      <c r="E94" s="5" t="s">
        <v>92</v>
      </c>
      <c r="F94" s="7" t="n">
        <v>3724.2</v>
      </c>
      <c r="G94" s="5" t="s">
        <v>45</v>
      </c>
      <c r="H94" s="5" t="s">
        <v>39</v>
      </c>
      <c r="I94" s="5" t="s">
        <v>47</v>
      </c>
      <c r="J94" s="5"/>
    </row>
    <row r="95" customFormat="false" ht="15" hidden="false" customHeight="false" outlineLevel="0" collapsed="false">
      <c r="A95" s="8" t="s">
        <v>272</v>
      </c>
      <c r="B95" s="9" t="n">
        <v>45900</v>
      </c>
      <c r="C95" s="8" t="s">
        <v>49</v>
      </c>
      <c r="D95" s="8" t="s">
        <v>273</v>
      </c>
      <c r="E95" s="8" t="s">
        <v>51</v>
      </c>
      <c r="F95" s="10" t="n">
        <v>12399.86</v>
      </c>
      <c r="G95" s="8" t="s">
        <v>38</v>
      </c>
      <c r="H95" s="8" t="s">
        <v>79</v>
      </c>
      <c r="I95" s="8" t="s">
        <v>88</v>
      </c>
      <c r="J95" s="8"/>
    </row>
    <row r="96" customFormat="false" ht="15" hidden="false" customHeight="false" outlineLevel="0" collapsed="false">
      <c r="A96" s="5" t="s">
        <v>274</v>
      </c>
      <c r="B96" s="6" t="n">
        <v>45968</v>
      </c>
      <c r="C96" s="5" t="s">
        <v>71</v>
      </c>
      <c r="D96" s="5" t="s">
        <v>275</v>
      </c>
      <c r="E96" s="5" t="s">
        <v>73</v>
      </c>
      <c r="F96" s="7" t="n">
        <v>11251.75</v>
      </c>
      <c r="G96" s="5" t="s">
        <v>45</v>
      </c>
      <c r="H96" s="5" t="s">
        <v>46</v>
      </c>
      <c r="I96" s="5" t="s">
        <v>88</v>
      </c>
      <c r="J96" s="5"/>
    </row>
    <row r="97" customFormat="false" ht="15" hidden="false" customHeight="false" outlineLevel="0" collapsed="false">
      <c r="A97" s="8" t="s">
        <v>276</v>
      </c>
      <c r="B97" s="9" t="n">
        <v>45671</v>
      </c>
      <c r="C97" s="8" t="s">
        <v>35</v>
      </c>
      <c r="D97" s="8" t="s">
        <v>277</v>
      </c>
      <c r="E97" s="8" t="s">
        <v>37</v>
      </c>
      <c r="F97" s="10" t="n">
        <v>17187.61</v>
      </c>
      <c r="G97" s="8" t="s">
        <v>78</v>
      </c>
      <c r="H97" s="8" t="s">
        <v>79</v>
      </c>
      <c r="I97" s="8" t="s">
        <v>47</v>
      </c>
      <c r="J97" s="8"/>
    </row>
    <row r="98" customFormat="false" ht="15" hidden="false" customHeight="false" outlineLevel="0" collapsed="false">
      <c r="A98" s="5" t="s">
        <v>279</v>
      </c>
      <c r="B98" s="6" t="n">
        <v>46011</v>
      </c>
      <c r="C98" s="5" t="s">
        <v>104</v>
      </c>
      <c r="D98" s="5" t="s">
        <v>280</v>
      </c>
      <c r="E98" s="5" t="s">
        <v>106</v>
      </c>
      <c r="F98" s="7" t="n">
        <v>15373.2</v>
      </c>
      <c r="G98" s="5" t="s">
        <v>38</v>
      </c>
      <c r="H98" s="5" t="s">
        <v>46</v>
      </c>
      <c r="I98" s="5" t="s">
        <v>88</v>
      </c>
      <c r="J98" s="5"/>
    </row>
    <row r="99" customFormat="false" ht="15" hidden="false" customHeight="false" outlineLevel="0" collapsed="false">
      <c r="A99" s="8" t="s">
        <v>281</v>
      </c>
      <c r="B99" s="9" t="n">
        <v>45947</v>
      </c>
      <c r="C99" s="8" t="s">
        <v>83</v>
      </c>
      <c r="D99" s="8" t="s">
        <v>282</v>
      </c>
      <c r="E99" s="8" t="s">
        <v>85</v>
      </c>
      <c r="F99" s="10" t="n">
        <v>14488.54</v>
      </c>
      <c r="G99" s="8" t="s">
        <v>62</v>
      </c>
      <c r="H99" s="8" t="s">
        <v>39</v>
      </c>
      <c r="I99" s="8" t="s">
        <v>57</v>
      </c>
      <c r="J99" s="8"/>
    </row>
    <row r="100" customFormat="false" ht="15" hidden="false" customHeight="false" outlineLevel="0" collapsed="false">
      <c r="A100" s="5" t="s">
        <v>283</v>
      </c>
      <c r="B100" s="6" t="n">
        <v>45917</v>
      </c>
      <c r="C100" s="5" t="s">
        <v>71</v>
      </c>
      <c r="D100" s="5" t="s">
        <v>284</v>
      </c>
      <c r="E100" s="5" t="s">
        <v>73</v>
      </c>
      <c r="F100" s="7" t="n">
        <v>11995.41</v>
      </c>
      <c r="G100" s="5" t="s">
        <v>45</v>
      </c>
      <c r="H100" s="5" t="s">
        <v>79</v>
      </c>
      <c r="I100" s="5" t="s">
        <v>57</v>
      </c>
      <c r="J100" s="5"/>
    </row>
    <row r="101" customFormat="false" ht="15" hidden="false" customHeight="false" outlineLevel="0" collapsed="false">
      <c r="A101" s="8" t="s">
        <v>285</v>
      </c>
      <c r="B101" s="9" t="n">
        <v>45843</v>
      </c>
      <c r="C101" s="8" t="s">
        <v>35</v>
      </c>
      <c r="D101" s="8" t="s">
        <v>286</v>
      </c>
      <c r="E101" s="8" t="s">
        <v>37</v>
      </c>
      <c r="F101" s="10" t="n">
        <v>11774.72</v>
      </c>
      <c r="G101" s="8" t="s">
        <v>78</v>
      </c>
      <c r="H101" s="8" t="s">
        <v>39</v>
      </c>
      <c r="I101" s="8" t="s">
        <v>47</v>
      </c>
      <c r="J101" s="8"/>
    </row>
    <row r="102" customFormat="false" ht="15" hidden="false" customHeight="false" outlineLevel="0" collapsed="false">
      <c r="A102" s="5" t="s">
        <v>287</v>
      </c>
      <c r="B102" s="6" t="n">
        <v>45925</v>
      </c>
      <c r="C102" s="5" t="s">
        <v>54</v>
      </c>
      <c r="D102" s="5" t="s">
        <v>288</v>
      </c>
      <c r="E102" s="5" t="s">
        <v>56</v>
      </c>
      <c r="F102" s="7" t="n">
        <v>17862.82</v>
      </c>
      <c r="G102" s="5" t="s">
        <v>62</v>
      </c>
      <c r="H102" s="5" t="s">
        <v>39</v>
      </c>
      <c r="I102" s="5" t="s">
        <v>52</v>
      </c>
      <c r="J102" s="5"/>
    </row>
    <row r="103" customFormat="false" ht="15" hidden="false" customHeight="false" outlineLevel="0" collapsed="false">
      <c r="A103" s="8" t="s">
        <v>289</v>
      </c>
      <c r="B103" s="9" t="n">
        <v>45881</v>
      </c>
      <c r="C103" s="8" t="s">
        <v>164</v>
      </c>
      <c r="D103" s="8" t="s">
        <v>290</v>
      </c>
      <c r="E103" s="8" t="s">
        <v>166</v>
      </c>
      <c r="F103" s="10" t="n">
        <v>15283.93</v>
      </c>
      <c r="G103" s="8" t="s">
        <v>62</v>
      </c>
      <c r="H103" s="8" t="s">
        <v>79</v>
      </c>
      <c r="I103" s="8" t="s">
        <v>47</v>
      </c>
      <c r="J103" s="8"/>
    </row>
    <row r="104" customFormat="false" ht="15" hidden="false" customHeight="false" outlineLevel="0" collapsed="false">
      <c r="A104" s="5" t="s">
        <v>291</v>
      </c>
      <c r="B104" s="6" t="n">
        <v>45888</v>
      </c>
      <c r="C104" s="5" t="s">
        <v>104</v>
      </c>
      <c r="D104" s="5" t="s">
        <v>292</v>
      </c>
      <c r="E104" s="5" t="s">
        <v>106</v>
      </c>
      <c r="F104" s="7" t="n">
        <v>4545.5</v>
      </c>
      <c r="G104" s="5" t="s">
        <v>78</v>
      </c>
      <c r="H104" s="5" t="s">
        <v>39</v>
      </c>
      <c r="I104" s="5" t="s">
        <v>52</v>
      </c>
      <c r="J104" s="5"/>
    </row>
    <row r="105" customFormat="false" ht="15" hidden="false" customHeight="false" outlineLevel="0" collapsed="false">
      <c r="A105" s="8" t="s">
        <v>293</v>
      </c>
      <c r="B105" s="9" t="n">
        <v>45672</v>
      </c>
      <c r="C105" s="8" t="s">
        <v>65</v>
      </c>
      <c r="D105" s="8" t="s">
        <v>294</v>
      </c>
      <c r="E105" s="8" t="s">
        <v>67</v>
      </c>
      <c r="F105" s="10" t="n">
        <v>9167.43</v>
      </c>
      <c r="G105" s="8" t="s">
        <v>62</v>
      </c>
      <c r="H105" s="8" t="s">
        <v>46</v>
      </c>
      <c r="I105" s="8" t="s">
        <v>57</v>
      </c>
      <c r="J105" s="8"/>
    </row>
    <row r="106" customFormat="false" ht="15" hidden="false" customHeight="false" outlineLevel="0" collapsed="false">
      <c r="A106" s="5" t="s">
        <v>295</v>
      </c>
      <c r="B106" s="6" t="n">
        <v>45790</v>
      </c>
      <c r="C106" s="5" t="s">
        <v>94</v>
      </c>
      <c r="D106" s="5" t="s">
        <v>200</v>
      </c>
      <c r="E106" s="5" t="s">
        <v>96</v>
      </c>
      <c r="F106" s="7" t="n">
        <v>6325.95</v>
      </c>
      <c r="G106" s="5" t="s">
        <v>62</v>
      </c>
      <c r="H106" s="5" t="s">
        <v>39</v>
      </c>
      <c r="I106" s="5" t="s">
        <v>40</v>
      </c>
      <c r="J106" s="5"/>
    </row>
    <row r="107" customFormat="false" ht="15" hidden="false" customHeight="false" outlineLevel="0" collapsed="false">
      <c r="A107" s="8" t="s">
        <v>296</v>
      </c>
      <c r="B107" s="9" t="n">
        <v>45701</v>
      </c>
      <c r="C107" s="8" t="s">
        <v>114</v>
      </c>
      <c r="D107" s="8" t="s">
        <v>297</v>
      </c>
      <c r="E107" s="8" t="s">
        <v>116</v>
      </c>
      <c r="F107" s="10" t="n">
        <v>4499.23</v>
      </c>
      <c r="G107" s="8" t="s">
        <v>78</v>
      </c>
      <c r="H107" s="8" t="s">
        <v>79</v>
      </c>
      <c r="I107" s="8" t="s">
        <v>52</v>
      </c>
      <c r="J107" s="8"/>
    </row>
    <row r="108" customFormat="false" ht="15" hidden="false" customHeight="false" outlineLevel="0" collapsed="false">
      <c r="A108" s="5" t="s">
        <v>298</v>
      </c>
      <c r="B108" s="6" t="n">
        <v>45988</v>
      </c>
      <c r="C108" s="5" t="s">
        <v>49</v>
      </c>
      <c r="D108" s="5" t="s">
        <v>299</v>
      </c>
      <c r="E108" s="5" t="s">
        <v>51</v>
      </c>
      <c r="F108" s="7" t="n">
        <v>13182.05</v>
      </c>
      <c r="G108" s="5" t="s">
        <v>78</v>
      </c>
      <c r="H108" s="5" t="s">
        <v>46</v>
      </c>
      <c r="I108" s="5" t="s">
        <v>40</v>
      </c>
      <c r="J108" s="5"/>
    </row>
    <row r="109" customFormat="false" ht="15" hidden="false" customHeight="false" outlineLevel="0" collapsed="false">
      <c r="A109" s="8" t="s">
        <v>300</v>
      </c>
      <c r="B109" s="9" t="n">
        <v>45865</v>
      </c>
      <c r="C109" s="8" t="s">
        <v>75</v>
      </c>
      <c r="D109" s="8" t="s">
        <v>301</v>
      </c>
      <c r="E109" s="8" t="s">
        <v>77</v>
      </c>
      <c r="F109" s="10" t="n">
        <v>12811.93</v>
      </c>
      <c r="G109" s="8" t="s">
        <v>62</v>
      </c>
      <c r="H109" s="8" t="s">
        <v>39</v>
      </c>
      <c r="I109" s="8" t="s">
        <v>52</v>
      </c>
      <c r="J109" s="8"/>
    </row>
    <row r="110" customFormat="false" ht="15" hidden="false" customHeight="false" outlineLevel="0" collapsed="false">
      <c r="A110" s="5" t="s">
        <v>302</v>
      </c>
      <c r="B110" s="6" t="n">
        <v>45941</v>
      </c>
      <c r="C110" s="5" t="s">
        <v>71</v>
      </c>
      <c r="D110" s="5" t="s">
        <v>303</v>
      </c>
      <c r="E110" s="5" t="s">
        <v>73</v>
      </c>
      <c r="F110" s="7" t="n">
        <v>9843.16</v>
      </c>
      <c r="G110" s="5" t="s">
        <v>78</v>
      </c>
      <c r="H110" s="5" t="s">
        <v>39</v>
      </c>
      <c r="I110" s="5" t="s">
        <v>52</v>
      </c>
      <c r="J110" s="5"/>
    </row>
    <row r="111" customFormat="false" ht="15" hidden="false" customHeight="false" outlineLevel="0" collapsed="false">
      <c r="A111" s="8" t="s">
        <v>304</v>
      </c>
      <c r="B111" s="9" t="n">
        <v>46017</v>
      </c>
      <c r="C111" s="8" t="s">
        <v>59</v>
      </c>
      <c r="D111" s="8" t="s">
        <v>305</v>
      </c>
      <c r="E111" s="8" t="s">
        <v>61</v>
      </c>
      <c r="F111" s="10" t="n">
        <v>8418.87</v>
      </c>
      <c r="G111" s="8" t="s">
        <v>62</v>
      </c>
      <c r="H111" s="8" t="s">
        <v>79</v>
      </c>
      <c r="I111" s="8" t="s">
        <v>47</v>
      </c>
      <c r="J111" s="8"/>
    </row>
    <row r="112" customFormat="false" ht="15" hidden="false" customHeight="false" outlineLevel="0" collapsed="false">
      <c r="A112" s="5" t="s">
        <v>306</v>
      </c>
      <c r="B112" s="6" t="n">
        <v>45819</v>
      </c>
      <c r="C112" s="5" t="s">
        <v>35</v>
      </c>
      <c r="D112" s="5" t="s">
        <v>307</v>
      </c>
      <c r="E112" s="5" t="s">
        <v>37</v>
      </c>
      <c r="F112" s="7" t="n">
        <v>2251.38</v>
      </c>
      <c r="G112" s="5" t="s">
        <v>38</v>
      </c>
      <c r="H112" s="5" t="s">
        <v>46</v>
      </c>
      <c r="I112" s="5" t="s">
        <v>47</v>
      </c>
      <c r="J112" s="5"/>
    </row>
    <row r="113" customFormat="false" ht="15" hidden="false" customHeight="false" outlineLevel="0" collapsed="false">
      <c r="A113" s="8" t="s">
        <v>308</v>
      </c>
      <c r="B113" s="9" t="n">
        <v>45959</v>
      </c>
      <c r="C113" s="8" t="s">
        <v>164</v>
      </c>
      <c r="D113" s="8" t="s">
        <v>309</v>
      </c>
      <c r="E113" s="8" t="s">
        <v>166</v>
      </c>
      <c r="F113" s="10" t="n">
        <v>18068.28</v>
      </c>
      <c r="G113" s="8" t="s">
        <v>62</v>
      </c>
      <c r="H113" s="8" t="s">
        <v>46</v>
      </c>
      <c r="I113" s="8" t="s">
        <v>47</v>
      </c>
      <c r="J113" s="8"/>
    </row>
    <row r="114" customFormat="false" ht="15" hidden="false" customHeight="false" outlineLevel="0" collapsed="false">
      <c r="A114" s="5" t="s">
        <v>310</v>
      </c>
      <c r="B114" s="6" t="n">
        <v>45842</v>
      </c>
      <c r="C114" s="5" t="s">
        <v>75</v>
      </c>
      <c r="D114" s="5" t="s">
        <v>311</v>
      </c>
      <c r="E114" s="5" t="s">
        <v>77</v>
      </c>
      <c r="F114" s="7" t="n">
        <v>3356.59</v>
      </c>
      <c r="G114" s="5" t="s">
        <v>45</v>
      </c>
      <c r="H114" s="5" t="s">
        <v>39</v>
      </c>
      <c r="I114" s="5" t="s">
        <v>52</v>
      </c>
      <c r="J114" s="5"/>
    </row>
    <row r="115" customFormat="false" ht="15" hidden="false" customHeight="false" outlineLevel="0" collapsed="false">
      <c r="A115" s="8" t="s">
        <v>312</v>
      </c>
      <c r="B115" s="9" t="n">
        <v>45681</v>
      </c>
      <c r="C115" s="8" t="s">
        <v>98</v>
      </c>
      <c r="D115" s="8" t="s">
        <v>313</v>
      </c>
      <c r="E115" s="8" t="s">
        <v>100</v>
      </c>
      <c r="F115" s="10" t="n">
        <v>18025.61</v>
      </c>
      <c r="G115" s="8" t="s">
        <v>62</v>
      </c>
      <c r="H115" s="8" t="s">
        <v>39</v>
      </c>
      <c r="I115" s="8" t="s">
        <v>47</v>
      </c>
      <c r="J115" s="8"/>
    </row>
    <row r="116" customFormat="false" ht="15" hidden="false" customHeight="false" outlineLevel="0" collapsed="false">
      <c r="A116" s="5" t="s">
        <v>314</v>
      </c>
      <c r="B116" s="6" t="n">
        <v>45664</v>
      </c>
      <c r="C116" s="5" t="s">
        <v>164</v>
      </c>
      <c r="D116" s="5" t="s">
        <v>315</v>
      </c>
      <c r="E116" s="5" t="s">
        <v>166</v>
      </c>
      <c r="F116" s="7" t="n">
        <v>10639.36</v>
      </c>
      <c r="G116" s="5" t="s">
        <v>78</v>
      </c>
      <c r="H116" s="5" t="s">
        <v>79</v>
      </c>
      <c r="I116" s="5" t="s">
        <v>57</v>
      </c>
      <c r="J116" s="5"/>
    </row>
    <row r="117" customFormat="false" ht="15" hidden="false" customHeight="false" outlineLevel="0" collapsed="false">
      <c r="A117" s="8" t="s">
        <v>316</v>
      </c>
      <c r="B117" s="9" t="n">
        <v>45684</v>
      </c>
      <c r="C117" s="8" t="s">
        <v>59</v>
      </c>
      <c r="D117" s="8" t="s">
        <v>317</v>
      </c>
      <c r="E117" s="8" t="s">
        <v>61</v>
      </c>
      <c r="F117" s="10" t="n">
        <v>4704.49</v>
      </c>
      <c r="G117" s="8" t="s">
        <v>78</v>
      </c>
      <c r="H117" s="8" t="s">
        <v>46</v>
      </c>
      <c r="I117" s="8" t="s">
        <v>40</v>
      </c>
      <c r="J117" s="8"/>
    </row>
    <row r="118" customFormat="false" ht="15" hidden="false" customHeight="false" outlineLevel="0" collapsed="false">
      <c r="A118" s="5" t="s">
        <v>318</v>
      </c>
      <c r="B118" s="6" t="n">
        <v>45695</v>
      </c>
      <c r="C118" s="5" t="s">
        <v>65</v>
      </c>
      <c r="D118" s="5" t="s">
        <v>319</v>
      </c>
      <c r="E118" s="5" t="s">
        <v>67</v>
      </c>
      <c r="F118" s="7" t="n">
        <v>10693.93</v>
      </c>
      <c r="G118" s="5" t="s">
        <v>45</v>
      </c>
      <c r="H118" s="5" t="s">
        <v>46</v>
      </c>
      <c r="I118" s="5" t="s">
        <v>47</v>
      </c>
      <c r="J118" s="5"/>
    </row>
    <row r="119" customFormat="false" ht="15" hidden="false" customHeight="false" outlineLevel="0" collapsed="false">
      <c r="A119" s="8" t="s">
        <v>320</v>
      </c>
      <c r="B119" s="9" t="n">
        <v>45701</v>
      </c>
      <c r="C119" s="8" t="s">
        <v>160</v>
      </c>
      <c r="D119" s="8" t="s">
        <v>321</v>
      </c>
      <c r="E119" s="8" t="s">
        <v>162</v>
      </c>
      <c r="F119" s="10" t="n">
        <v>18387.76</v>
      </c>
      <c r="G119" s="8" t="s">
        <v>45</v>
      </c>
      <c r="H119" s="8" t="s">
        <v>39</v>
      </c>
      <c r="I119" s="8" t="s">
        <v>57</v>
      </c>
      <c r="J119" s="8"/>
    </row>
    <row r="120" customFormat="false" ht="15" hidden="false" customHeight="false" outlineLevel="0" collapsed="false">
      <c r="A120" s="5" t="s">
        <v>322</v>
      </c>
      <c r="B120" s="6" t="n">
        <v>45974</v>
      </c>
      <c r="C120" s="5" t="s">
        <v>83</v>
      </c>
      <c r="D120" s="5" t="s">
        <v>323</v>
      </c>
      <c r="E120" s="5" t="s">
        <v>85</v>
      </c>
      <c r="F120" s="7" t="n">
        <v>4210.06</v>
      </c>
      <c r="G120" s="5" t="s">
        <v>78</v>
      </c>
      <c r="H120" s="5" t="s">
        <v>79</v>
      </c>
      <c r="I120" s="5" t="s">
        <v>57</v>
      </c>
      <c r="J120" s="5"/>
    </row>
    <row r="121" customFormat="false" ht="15" hidden="false" customHeight="false" outlineLevel="0" collapsed="false">
      <c r="A121" s="8" t="s">
        <v>324</v>
      </c>
      <c r="B121" s="9" t="n">
        <v>45877</v>
      </c>
      <c r="C121" s="8" t="s">
        <v>75</v>
      </c>
      <c r="D121" s="8" t="s">
        <v>325</v>
      </c>
      <c r="E121" s="8" t="s">
        <v>77</v>
      </c>
      <c r="F121" s="10" t="n">
        <v>5680.79</v>
      </c>
      <c r="G121" s="8" t="s">
        <v>45</v>
      </c>
      <c r="H121" s="8" t="s">
        <v>39</v>
      </c>
      <c r="I121" s="8" t="s">
        <v>40</v>
      </c>
      <c r="J121" s="8"/>
    </row>
    <row r="122" customFormat="false" ht="15" hidden="false" customHeight="false" outlineLevel="0" collapsed="false">
      <c r="A122" s="5" t="s">
        <v>326</v>
      </c>
      <c r="B122" s="6" t="n">
        <v>45766</v>
      </c>
      <c r="C122" s="5" t="s">
        <v>94</v>
      </c>
      <c r="D122" s="5" t="s">
        <v>327</v>
      </c>
      <c r="E122" s="5" t="s">
        <v>96</v>
      </c>
      <c r="F122" s="7" t="n">
        <v>4929.04</v>
      </c>
      <c r="G122" s="5" t="s">
        <v>45</v>
      </c>
      <c r="H122" s="5" t="s">
        <v>46</v>
      </c>
      <c r="I122" s="5" t="s">
        <v>47</v>
      </c>
      <c r="J122" s="5"/>
    </row>
    <row r="123" customFormat="false" ht="15" hidden="false" customHeight="false" outlineLevel="0" collapsed="false">
      <c r="A123" s="8" t="s">
        <v>328</v>
      </c>
      <c r="B123" s="9" t="n">
        <v>45696</v>
      </c>
      <c r="C123" s="8" t="s">
        <v>148</v>
      </c>
      <c r="D123" s="8" t="s">
        <v>329</v>
      </c>
      <c r="E123" s="8" t="s">
        <v>150</v>
      </c>
      <c r="F123" s="10" t="n">
        <v>2933.81</v>
      </c>
      <c r="G123" s="8" t="s">
        <v>78</v>
      </c>
      <c r="H123" s="8" t="s">
        <v>79</v>
      </c>
      <c r="I123" s="8" t="s">
        <v>52</v>
      </c>
      <c r="J123" s="8"/>
    </row>
    <row r="124" customFormat="false" ht="15" hidden="false" customHeight="false" outlineLevel="0" collapsed="false">
      <c r="A124" s="5" t="s">
        <v>330</v>
      </c>
      <c r="B124" s="6" t="n">
        <v>45674</v>
      </c>
      <c r="C124" s="5" t="s">
        <v>164</v>
      </c>
      <c r="D124" s="5" t="s">
        <v>331</v>
      </c>
      <c r="E124" s="5" t="s">
        <v>166</v>
      </c>
      <c r="F124" s="7" t="n">
        <v>4316.89</v>
      </c>
      <c r="G124" s="5" t="s">
        <v>62</v>
      </c>
      <c r="H124" s="5" t="s">
        <v>39</v>
      </c>
      <c r="I124" s="5" t="s">
        <v>57</v>
      </c>
      <c r="J124" s="5"/>
    </row>
    <row r="125" customFormat="false" ht="15" hidden="false" customHeight="false" outlineLevel="0" collapsed="false">
      <c r="A125" s="8" t="s">
        <v>332</v>
      </c>
      <c r="B125" s="9" t="n">
        <v>45793</v>
      </c>
      <c r="C125" s="8" t="s">
        <v>104</v>
      </c>
      <c r="D125" s="8" t="s">
        <v>333</v>
      </c>
      <c r="E125" s="8" t="s">
        <v>106</v>
      </c>
      <c r="F125" s="10" t="n">
        <v>14584.37</v>
      </c>
      <c r="G125" s="8" t="s">
        <v>38</v>
      </c>
      <c r="H125" s="8" t="s">
        <v>79</v>
      </c>
      <c r="I125" s="8" t="s">
        <v>40</v>
      </c>
      <c r="J125" s="8"/>
    </row>
    <row r="126" customFormat="false" ht="15" hidden="false" customHeight="false" outlineLevel="0" collapsed="false">
      <c r="A126" s="5" t="s">
        <v>334</v>
      </c>
      <c r="B126" s="6" t="n">
        <v>45989</v>
      </c>
      <c r="C126" s="5" t="s">
        <v>42</v>
      </c>
      <c r="D126" s="5" t="s">
        <v>335</v>
      </c>
      <c r="E126" s="5" t="s">
        <v>44</v>
      </c>
      <c r="F126" s="7" t="n">
        <v>2794.6</v>
      </c>
      <c r="G126" s="5" t="s">
        <v>62</v>
      </c>
      <c r="H126" s="5" t="s">
        <v>46</v>
      </c>
      <c r="I126" s="5" t="s">
        <v>40</v>
      </c>
      <c r="J126" s="5"/>
    </row>
    <row r="127" customFormat="false" ht="15" hidden="false" customHeight="false" outlineLevel="0" collapsed="false">
      <c r="A127" s="8" t="s">
        <v>336</v>
      </c>
      <c r="B127" s="9" t="n">
        <v>45815</v>
      </c>
      <c r="C127" s="8" t="s">
        <v>90</v>
      </c>
      <c r="D127" s="8" t="s">
        <v>337</v>
      </c>
      <c r="E127" s="8" t="s">
        <v>92</v>
      </c>
      <c r="F127" s="10" t="n">
        <v>11026.54</v>
      </c>
      <c r="G127" s="8" t="s">
        <v>62</v>
      </c>
      <c r="H127" s="8" t="s">
        <v>79</v>
      </c>
      <c r="I127" s="8" t="s">
        <v>40</v>
      </c>
      <c r="J127" s="8"/>
    </row>
    <row r="128" customFormat="false" ht="15" hidden="false" customHeight="false" outlineLevel="0" collapsed="false">
      <c r="A128" s="5" t="s">
        <v>338</v>
      </c>
      <c r="B128" s="6" t="n">
        <v>46016</v>
      </c>
      <c r="C128" s="5" t="s">
        <v>228</v>
      </c>
      <c r="D128" s="5" t="s">
        <v>339</v>
      </c>
      <c r="E128" s="5" t="s">
        <v>230</v>
      </c>
      <c r="F128" s="7" t="n">
        <v>7473.29</v>
      </c>
      <c r="G128" s="5" t="s">
        <v>62</v>
      </c>
      <c r="H128" s="5" t="s">
        <v>39</v>
      </c>
      <c r="I128" s="5" t="s">
        <v>52</v>
      </c>
      <c r="J128" s="5"/>
    </row>
    <row r="129" customFormat="false" ht="15" hidden="false" customHeight="false" outlineLevel="0" collapsed="false">
      <c r="A129" s="8" t="s">
        <v>340</v>
      </c>
      <c r="B129" s="9" t="n">
        <v>45699</v>
      </c>
      <c r="C129" s="8" t="s">
        <v>164</v>
      </c>
      <c r="D129" s="8" t="s">
        <v>341</v>
      </c>
      <c r="E129" s="8" t="s">
        <v>166</v>
      </c>
      <c r="F129" s="10" t="n">
        <v>11081.77</v>
      </c>
      <c r="G129" s="8" t="s">
        <v>78</v>
      </c>
      <c r="H129" s="8" t="s">
        <v>39</v>
      </c>
      <c r="I129" s="8" t="s">
        <v>88</v>
      </c>
      <c r="J129" s="8"/>
    </row>
    <row r="130" customFormat="false" ht="15" hidden="false" customHeight="false" outlineLevel="0" collapsed="false">
      <c r="A130" s="5" t="s">
        <v>342</v>
      </c>
      <c r="B130" s="6" t="n">
        <v>45671</v>
      </c>
      <c r="C130" s="5" t="s">
        <v>83</v>
      </c>
      <c r="D130" s="5" t="s">
        <v>343</v>
      </c>
      <c r="E130" s="5" t="s">
        <v>85</v>
      </c>
      <c r="F130" s="7" t="n">
        <v>1730.44</v>
      </c>
      <c r="G130" s="5" t="s">
        <v>45</v>
      </c>
      <c r="H130" s="5" t="s">
        <v>39</v>
      </c>
      <c r="I130" s="5" t="s">
        <v>88</v>
      </c>
      <c r="J130" s="5"/>
    </row>
    <row r="131" customFormat="false" ht="15" hidden="false" customHeight="false" outlineLevel="0" collapsed="false">
      <c r="A131" s="8" t="s">
        <v>344</v>
      </c>
      <c r="B131" s="9" t="n">
        <v>45747</v>
      </c>
      <c r="C131" s="8" t="s">
        <v>160</v>
      </c>
      <c r="D131" s="8" t="s">
        <v>345</v>
      </c>
      <c r="E131" s="8" t="s">
        <v>162</v>
      </c>
      <c r="F131" s="10" t="n">
        <v>8728.09</v>
      </c>
      <c r="G131" s="8" t="s">
        <v>78</v>
      </c>
      <c r="H131" s="8" t="s">
        <v>79</v>
      </c>
      <c r="I131" s="8" t="s">
        <v>47</v>
      </c>
      <c r="J131" s="8"/>
    </row>
    <row r="132" customFormat="false" ht="15" hidden="false" customHeight="false" outlineLevel="0" collapsed="false">
      <c r="A132" s="5" t="s">
        <v>346</v>
      </c>
      <c r="B132" s="6" t="n">
        <v>45983</v>
      </c>
      <c r="C132" s="5" t="s">
        <v>160</v>
      </c>
      <c r="D132" s="5" t="s">
        <v>347</v>
      </c>
      <c r="E132" s="5" t="s">
        <v>162</v>
      </c>
      <c r="F132" s="7" t="n">
        <v>15071.89</v>
      </c>
      <c r="G132" s="5" t="s">
        <v>45</v>
      </c>
      <c r="H132" s="5" t="s">
        <v>79</v>
      </c>
      <c r="I132" s="5" t="s">
        <v>88</v>
      </c>
      <c r="J132" s="5"/>
    </row>
    <row r="133" customFormat="false" ht="15" hidden="false" customHeight="false" outlineLevel="0" collapsed="false">
      <c r="A133" s="8" t="s">
        <v>348</v>
      </c>
      <c r="B133" s="9" t="n">
        <v>45822</v>
      </c>
      <c r="C133" s="8" t="s">
        <v>54</v>
      </c>
      <c r="D133" s="8" t="s">
        <v>349</v>
      </c>
      <c r="E133" s="8" t="s">
        <v>56</v>
      </c>
      <c r="F133" s="10" t="n">
        <v>12412.31</v>
      </c>
      <c r="G133" s="8" t="s">
        <v>38</v>
      </c>
      <c r="H133" s="8" t="s">
        <v>79</v>
      </c>
      <c r="I133" s="8" t="s">
        <v>57</v>
      </c>
      <c r="J133" s="8"/>
    </row>
    <row r="134" customFormat="false" ht="15" hidden="false" customHeight="false" outlineLevel="0" collapsed="false">
      <c r="A134" s="5" t="s">
        <v>350</v>
      </c>
      <c r="B134" s="6" t="n">
        <v>45997</v>
      </c>
      <c r="C134" s="5" t="s">
        <v>164</v>
      </c>
      <c r="D134" s="5" t="s">
        <v>351</v>
      </c>
      <c r="E134" s="5" t="s">
        <v>166</v>
      </c>
      <c r="F134" s="7" t="n">
        <v>17488.55</v>
      </c>
      <c r="G134" s="5" t="s">
        <v>45</v>
      </c>
      <c r="H134" s="5" t="s">
        <v>79</v>
      </c>
      <c r="I134" s="5" t="s">
        <v>40</v>
      </c>
      <c r="J134" s="5"/>
    </row>
    <row r="135" customFormat="false" ht="15" hidden="false" customHeight="false" outlineLevel="0" collapsed="false">
      <c r="A135" s="8" t="s">
        <v>352</v>
      </c>
      <c r="B135" s="9" t="n">
        <v>45823</v>
      </c>
      <c r="C135" s="8" t="s">
        <v>59</v>
      </c>
      <c r="D135" s="8" t="s">
        <v>353</v>
      </c>
      <c r="E135" s="8" t="s">
        <v>61</v>
      </c>
      <c r="F135" s="10" t="n">
        <v>2184.33</v>
      </c>
      <c r="G135" s="8" t="s">
        <v>78</v>
      </c>
      <c r="H135" s="8" t="s">
        <v>39</v>
      </c>
      <c r="I135" s="8" t="s">
        <v>40</v>
      </c>
      <c r="J135" s="8"/>
    </row>
    <row r="136" customFormat="false" ht="15" hidden="false" customHeight="false" outlineLevel="0" collapsed="false">
      <c r="A136" s="5" t="s">
        <v>354</v>
      </c>
      <c r="B136" s="6" t="n">
        <v>45869</v>
      </c>
      <c r="C136" s="5" t="s">
        <v>42</v>
      </c>
      <c r="D136" s="5" t="s">
        <v>355</v>
      </c>
      <c r="E136" s="5" t="s">
        <v>44</v>
      </c>
      <c r="F136" s="7" t="n">
        <v>1045.34</v>
      </c>
      <c r="G136" s="5" t="s">
        <v>62</v>
      </c>
      <c r="H136" s="5" t="s">
        <v>39</v>
      </c>
      <c r="I136" s="5" t="s">
        <v>57</v>
      </c>
      <c r="J136" s="5"/>
    </row>
    <row r="137" customFormat="false" ht="15" hidden="false" customHeight="false" outlineLevel="0" collapsed="false">
      <c r="A137" s="8" t="s">
        <v>356</v>
      </c>
      <c r="B137" s="9" t="n">
        <v>45762</v>
      </c>
      <c r="C137" s="8" t="s">
        <v>228</v>
      </c>
      <c r="D137" s="8" t="s">
        <v>357</v>
      </c>
      <c r="E137" s="8" t="s">
        <v>230</v>
      </c>
      <c r="F137" s="10" t="n">
        <v>4973.52</v>
      </c>
      <c r="G137" s="8" t="s">
        <v>38</v>
      </c>
      <c r="H137" s="8" t="s">
        <v>79</v>
      </c>
      <c r="I137" s="8" t="s">
        <v>57</v>
      </c>
      <c r="J137" s="8"/>
    </row>
    <row r="138" customFormat="false" ht="15" hidden="false" customHeight="false" outlineLevel="0" collapsed="false">
      <c r="A138" s="5" t="s">
        <v>358</v>
      </c>
      <c r="B138" s="6" t="n">
        <v>45672</v>
      </c>
      <c r="C138" s="5" t="s">
        <v>164</v>
      </c>
      <c r="D138" s="5" t="s">
        <v>359</v>
      </c>
      <c r="E138" s="5" t="s">
        <v>166</v>
      </c>
      <c r="F138" s="7" t="n">
        <v>18004.42</v>
      </c>
      <c r="G138" s="5" t="s">
        <v>38</v>
      </c>
      <c r="H138" s="5" t="s">
        <v>39</v>
      </c>
      <c r="I138" s="5" t="s">
        <v>47</v>
      </c>
      <c r="J138" s="5"/>
    </row>
    <row r="139" customFormat="false" ht="15" hidden="false" customHeight="false" outlineLevel="0" collapsed="false">
      <c r="A139" s="8" t="s">
        <v>360</v>
      </c>
      <c r="B139" s="9" t="n">
        <v>45665</v>
      </c>
      <c r="C139" s="8" t="s">
        <v>75</v>
      </c>
      <c r="D139" s="8" t="s">
        <v>361</v>
      </c>
      <c r="E139" s="8" t="s">
        <v>77</v>
      </c>
      <c r="F139" s="10" t="n">
        <v>10236.8</v>
      </c>
      <c r="G139" s="8" t="s">
        <v>45</v>
      </c>
      <c r="H139" s="8" t="s">
        <v>46</v>
      </c>
      <c r="I139" s="8" t="s">
        <v>40</v>
      </c>
      <c r="J139" s="8"/>
    </row>
    <row r="140" customFormat="false" ht="15" hidden="false" customHeight="false" outlineLevel="0" collapsed="false">
      <c r="A140" s="5" t="s">
        <v>362</v>
      </c>
      <c r="B140" s="6" t="n">
        <v>45989</v>
      </c>
      <c r="C140" s="5" t="s">
        <v>228</v>
      </c>
      <c r="D140" s="5" t="s">
        <v>363</v>
      </c>
      <c r="E140" s="5" t="s">
        <v>230</v>
      </c>
      <c r="F140" s="7" t="n">
        <v>15402.2</v>
      </c>
      <c r="G140" s="5" t="s">
        <v>78</v>
      </c>
      <c r="H140" s="5" t="s">
        <v>39</v>
      </c>
      <c r="I140" s="5" t="s">
        <v>88</v>
      </c>
      <c r="J140" s="5"/>
    </row>
    <row r="141" customFormat="false" ht="15" hidden="false" customHeight="false" outlineLevel="0" collapsed="false">
      <c r="A141" s="8" t="s">
        <v>364</v>
      </c>
      <c r="B141" s="9" t="n">
        <v>45870</v>
      </c>
      <c r="C141" s="8" t="s">
        <v>114</v>
      </c>
      <c r="D141" s="8" t="s">
        <v>365</v>
      </c>
      <c r="E141" s="8" t="s">
        <v>116</v>
      </c>
      <c r="F141" s="10" t="n">
        <v>15449.83</v>
      </c>
      <c r="G141" s="8" t="s">
        <v>78</v>
      </c>
      <c r="H141" s="8" t="s">
        <v>46</v>
      </c>
      <c r="I141" s="8" t="s">
        <v>57</v>
      </c>
      <c r="J141" s="8"/>
    </row>
    <row r="142" customFormat="false" ht="15" hidden="false" customHeight="false" outlineLevel="0" collapsed="false">
      <c r="A142" s="5" t="s">
        <v>366</v>
      </c>
      <c r="B142" s="6" t="n">
        <v>45854</v>
      </c>
      <c r="C142" s="5" t="s">
        <v>42</v>
      </c>
      <c r="D142" s="5" t="s">
        <v>367</v>
      </c>
      <c r="E142" s="5" t="s">
        <v>44</v>
      </c>
      <c r="F142" s="7" t="n">
        <v>3562.71</v>
      </c>
      <c r="G142" s="5" t="s">
        <v>38</v>
      </c>
      <c r="H142" s="5" t="s">
        <v>46</v>
      </c>
      <c r="I142" s="5" t="s">
        <v>88</v>
      </c>
      <c r="J142" s="5"/>
    </row>
    <row r="143" customFormat="false" ht="15" hidden="false" customHeight="false" outlineLevel="0" collapsed="false">
      <c r="A143" s="8" t="s">
        <v>368</v>
      </c>
      <c r="B143" s="9" t="n">
        <v>45917</v>
      </c>
      <c r="C143" s="8" t="s">
        <v>54</v>
      </c>
      <c r="D143" s="8" t="s">
        <v>369</v>
      </c>
      <c r="E143" s="8" t="s">
        <v>56</v>
      </c>
      <c r="F143" s="10" t="n">
        <v>4975.67</v>
      </c>
      <c r="G143" s="8" t="s">
        <v>45</v>
      </c>
      <c r="H143" s="8" t="s">
        <v>79</v>
      </c>
      <c r="I143" s="8" t="s">
        <v>88</v>
      </c>
      <c r="J143" s="8"/>
    </row>
    <row r="144" customFormat="false" ht="15" hidden="false" customHeight="false" outlineLevel="0" collapsed="false">
      <c r="A144" s="5" t="s">
        <v>370</v>
      </c>
      <c r="B144" s="6" t="n">
        <v>45995</v>
      </c>
      <c r="C144" s="5" t="s">
        <v>160</v>
      </c>
      <c r="D144" s="5" t="s">
        <v>371</v>
      </c>
      <c r="E144" s="5" t="s">
        <v>162</v>
      </c>
      <c r="F144" s="7" t="n">
        <v>9081.31</v>
      </c>
      <c r="G144" s="5" t="s">
        <v>38</v>
      </c>
      <c r="H144" s="5" t="s">
        <v>79</v>
      </c>
      <c r="I144" s="5" t="s">
        <v>52</v>
      </c>
      <c r="J144" s="5"/>
    </row>
    <row r="145" customFormat="false" ht="15" hidden="false" customHeight="false" outlineLevel="0" collapsed="false">
      <c r="A145" s="8" t="s">
        <v>372</v>
      </c>
      <c r="B145" s="9" t="n">
        <v>45828</v>
      </c>
      <c r="C145" s="8" t="s">
        <v>164</v>
      </c>
      <c r="D145" s="8" t="s">
        <v>373</v>
      </c>
      <c r="E145" s="8" t="s">
        <v>166</v>
      </c>
      <c r="F145" s="10" t="n">
        <v>10230.64</v>
      </c>
      <c r="G145" s="8" t="s">
        <v>78</v>
      </c>
      <c r="H145" s="8" t="s">
        <v>79</v>
      </c>
      <c r="I145" s="8" t="s">
        <v>88</v>
      </c>
      <c r="J145" s="8"/>
    </row>
    <row r="146" customFormat="false" ht="15" hidden="false" customHeight="false" outlineLevel="0" collapsed="false">
      <c r="A146" s="5" t="s">
        <v>374</v>
      </c>
      <c r="B146" s="6" t="n">
        <v>45950</v>
      </c>
      <c r="C146" s="5" t="s">
        <v>94</v>
      </c>
      <c r="D146" s="5" t="s">
        <v>375</v>
      </c>
      <c r="E146" s="5" t="s">
        <v>96</v>
      </c>
      <c r="F146" s="7" t="n">
        <v>7112.73</v>
      </c>
      <c r="G146" s="5" t="s">
        <v>78</v>
      </c>
      <c r="H146" s="5" t="s">
        <v>46</v>
      </c>
      <c r="I146" s="5" t="s">
        <v>88</v>
      </c>
      <c r="J146" s="5"/>
    </row>
    <row r="147" customFormat="false" ht="15" hidden="false" customHeight="false" outlineLevel="0" collapsed="false">
      <c r="A147" s="8" t="s">
        <v>376</v>
      </c>
      <c r="B147" s="9" t="n">
        <v>45855</v>
      </c>
      <c r="C147" s="8" t="s">
        <v>164</v>
      </c>
      <c r="D147" s="8" t="s">
        <v>377</v>
      </c>
      <c r="E147" s="8" t="s">
        <v>166</v>
      </c>
      <c r="F147" s="10" t="n">
        <v>18286.18</v>
      </c>
      <c r="G147" s="8" t="s">
        <v>38</v>
      </c>
      <c r="H147" s="8" t="s">
        <v>79</v>
      </c>
      <c r="I147" s="8" t="s">
        <v>40</v>
      </c>
      <c r="J147" s="8"/>
    </row>
    <row r="148" customFormat="false" ht="15" hidden="false" customHeight="false" outlineLevel="0" collapsed="false">
      <c r="A148" s="5" t="s">
        <v>378</v>
      </c>
      <c r="B148" s="6" t="n">
        <v>45960</v>
      </c>
      <c r="C148" s="5" t="s">
        <v>98</v>
      </c>
      <c r="D148" s="5" t="s">
        <v>379</v>
      </c>
      <c r="E148" s="5" t="s">
        <v>100</v>
      </c>
      <c r="F148" s="7" t="n">
        <v>6171.96</v>
      </c>
      <c r="G148" s="5" t="s">
        <v>45</v>
      </c>
      <c r="H148" s="5" t="s">
        <v>79</v>
      </c>
      <c r="I148" s="5" t="s">
        <v>40</v>
      </c>
      <c r="J148" s="5"/>
    </row>
    <row r="149" customFormat="false" ht="15" hidden="false" customHeight="false" outlineLevel="0" collapsed="false">
      <c r="A149" s="8" t="s">
        <v>380</v>
      </c>
      <c r="B149" s="9" t="n">
        <v>45665</v>
      </c>
      <c r="C149" s="8" t="s">
        <v>114</v>
      </c>
      <c r="D149" s="8" t="s">
        <v>728</v>
      </c>
      <c r="E149" s="8" t="s">
        <v>116</v>
      </c>
      <c r="F149" s="10" t="n">
        <v>13377.7</v>
      </c>
      <c r="G149" s="8" t="s">
        <v>78</v>
      </c>
      <c r="H149" s="8" t="s">
        <v>39</v>
      </c>
      <c r="I149" s="8" t="s">
        <v>47</v>
      </c>
      <c r="J149" s="8"/>
    </row>
    <row r="150" customFormat="false" ht="15" hidden="false" customHeight="false" outlineLevel="0" collapsed="false">
      <c r="A150" s="5" t="s">
        <v>382</v>
      </c>
      <c r="B150" s="6" t="n">
        <v>45793</v>
      </c>
      <c r="C150" s="5" t="s">
        <v>104</v>
      </c>
      <c r="D150" s="5" t="s">
        <v>383</v>
      </c>
      <c r="E150" s="5" t="s">
        <v>106</v>
      </c>
      <c r="F150" s="7" t="n">
        <v>6293.15</v>
      </c>
      <c r="G150" s="5" t="s">
        <v>78</v>
      </c>
      <c r="H150" s="5" t="s">
        <v>39</v>
      </c>
      <c r="I150" s="5" t="s">
        <v>40</v>
      </c>
      <c r="J150" s="5"/>
    </row>
    <row r="151" customFormat="false" ht="15" hidden="false" customHeight="false" outlineLevel="0" collapsed="false">
      <c r="A151" s="8" t="s">
        <v>384</v>
      </c>
      <c r="B151" s="9" t="n">
        <v>45931</v>
      </c>
      <c r="C151" s="8" t="s">
        <v>59</v>
      </c>
      <c r="D151" s="8" t="s">
        <v>385</v>
      </c>
      <c r="E151" s="8" t="s">
        <v>61</v>
      </c>
      <c r="F151" s="10" t="n">
        <v>7058.07</v>
      </c>
      <c r="G151" s="8" t="s">
        <v>62</v>
      </c>
      <c r="H151" s="8" t="s">
        <v>39</v>
      </c>
      <c r="I151" s="8" t="s">
        <v>57</v>
      </c>
      <c r="J151" s="8"/>
    </row>
    <row r="152" customFormat="false" ht="15" hidden="false" customHeight="false" outlineLevel="0" collapsed="false">
      <c r="A152" s="5" t="s">
        <v>386</v>
      </c>
      <c r="B152" s="6" t="n">
        <v>45974</v>
      </c>
      <c r="C152" s="5" t="s">
        <v>42</v>
      </c>
      <c r="D152" s="5" t="s">
        <v>387</v>
      </c>
      <c r="E152" s="5" t="s">
        <v>44</v>
      </c>
      <c r="F152" s="7" t="n">
        <v>1307.7</v>
      </c>
      <c r="G152" s="5" t="s">
        <v>62</v>
      </c>
      <c r="H152" s="5" t="s">
        <v>46</v>
      </c>
      <c r="I152" s="5" t="s">
        <v>40</v>
      </c>
      <c r="J152" s="5"/>
    </row>
    <row r="153" customFormat="false" ht="15" hidden="false" customHeight="false" outlineLevel="0" collapsed="false">
      <c r="A153" s="8" t="s">
        <v>388</v>
      </c>
      <c r="B153" s="9" t="n">
        <v>45982</v>
      </c>
      <c r="C153" s="8" t="s">
        <v>54</v>
      </c>
      <c r="D153" s="8" t="s">
        <v>389</v>
      </c>
      <c r="E153" s="8" t="s">
        <v>56</v>
      </c>
      <c r="F153" s="10" t="n">
        <v>13035.31</v>
      </c>
      <c r="G153" s="8" t="s">
        <v>45</v>
      </c>
      <c r="H153" s="8" t="s">
        <v>79</v>
      </c>
      <c r="I153" s="8" t="s">
        <v>47</v>
      </c>
      <c r="J153" s="8"/>
    </row>
    <row r="154" customFormat="false" ht="15" hidden="false" customHeight="false" outlineLevel="0" collapsed="false">
      <c r="A154" s="5" t="s">
        <v>390</v>
      </c>
      <c r="B154" s="6" t="n">
        <v>45681</v>
      </c>
      <c r="C154" s="5" t="s">
        <v>75</v>
      </c>
      <c r="D154" s="5" t="s">
        <v>391</v>
      </c>
      <c r="E154" s="5" t="s">
        <v>77</v>
      </c>
      <c r="F154" s="7" t="n">
        <v>6031.33</v>
      </c>
      <c r="G154" s="5" t="s">
        <v>45</v>
      </c>
      <c r="H154" s="5" t="s">
        <v>79</v>
      </c>
      <c r="I154" s="5" t="s">
        <v>88</v>
      </c>
      <c r="J154" s="5"/>
    </row>
    <row r="155" customFormat="false" ht="15" hidden="false" customHeight="false" outlineLevel="0" collapsed="false">
      <c r="A155" s="8" t="s">
        <v>392</v>
      </c>
      <c r="B155" s="9" t="n">
        <v>45732</v>
      </c>
      <c r="C155" s="8" t="s">
        <v>71</v>
      </c>
      <c r="D155" s="8" t="s">
        <v>393</v>
      </c>
      <c r="E155" s="8" t="s">
        <v>73</v>
      </c>
      <c r="F155" s="10" t="n">
        <v>4551.66</v>
      </c>
      <c r="G155" s="8" t="s">
        <v>78</v>
      </c>
      <c r="H155" s="8" t="s">
        <v>39</v>
      </c>
      <c r="I155" s="8" t="s">
        <v>47</v>
      </c>
      <c r="J155" s="8"/>
    </row>
    <row r="156" customFormat="false" ht="15" hidden="false" customHeight="false" outlineLevel="0" collapsed="false">
      <c r="A156" s="5" t="s">
        <v>394</v>
      </c>
      <c r="B156" s="6" t="n">
        <v>45698</v>
      </c>
      <c r="C156" s="5" t="s">
        <v>148</v>
      </c>
      <c r="D156" s="5" t="s">
        <v>395</v>
      </c>
      <c r="E156" s="5" t="s">
        <v>150</v>
      </c>
      <c r="F156" s="7" t="n">
        <v>11293.17</v>
      </c>
      <c r="G156" s="5" t="s">
        <v>78</v>
      </c>
      <c r="H156" s="5" t="s">
        <v>39</v>
      </c>
      <c r="I156" s="5" t="s">
        <v>47</v>
      </c>
      <c r="J156" s="5"/>
    </row>
    <row r="157" customFormat="false" ht="15" hidden="false" customHeight="false" outlineLevel="0" collapsed="false">
      <c r="A157" s="8" t="s">
        <v>396</v>
      </c>
      <c r="B157" s="9" t="n">
        <v>45731</v>
      </c>
      <c r="C157" s="8" t="s">
        <v>164</v>
      </c>
      <c r="D157" s="8" t="s">
        <v>397</v>
      </c>
      <c r="E157" s="8" t="s">
        <v>166</v>
      </c>
      <c r="F157" s="10" t="n">
        <v>4330.04</v>
      </c>
      <c r="G157" s="8" t="s">
        <v>62</v>
      </c>
      <c r="H157" s="8" t="s">
        <v>79</v>
      </c>
      <c r="I157" s="8" t="s">
        <v>88</v>
      </c>
      <c r="J157" s="8"/>
    </row>
    <row r="158" customFormat="false" ht="15" hidden="false" customHeight="false" outlineLevel="0" collapsed="false">
      <c r="A158" s="5" t="s">
        <v>398</v>
      </c>
      <c r="B158" s="6" t="n">
        <v>45805</v>
      </c>
      <c r="C158" s="5" t="s">
        <v>120</v>
      </c>
      <c r="D158" s="5" t="s">
        <v>399</v>
      </c>
      <c r="E158" s="5" t="s">
        <v>122</v>
      </c>
      <c r="F158" s="7" t="n">
        <v>12550.31</v>
      </c>
      <c r="G158" s="5" t="s">
        <v>38</v>
      </c>
      <c r="H158" s="5" t="s">
        <v>46</v>
      </c>
      <c r="I158" s="5" t="s">
        <v>57</v>
      </c>
      <c r="J158" s="5"/>
    </row>
    <row r="159" customFormat="false" ht="15" hidden="false" customHeight="false" outlineLevel="0" collapsed="false">
      <c r="A159" s="8" t="s">
        <v>400</v>
      </c>
      <c r="B159" s="9" t="n">
        <v>45811</v>
      </c>
      <c r="C159" s="8" t="s">
        <v>71</v>
      </c>
      <c r="D159" s="8" t="s">
        <v>401</v>
      </c>
      <c r="E159" s="8" t="s">
        <v>73</v>
      </c>
      <c r="F159" s="10" t="n">
        <v>11836.61</v>
      </c>
      <c r="G159" s="8" t="s">
        <v>78</v>
      </c>
      <c r="H159" s="8" t="s">
        <v>39</v>
      </c>
      <c r="I159" s="8" t="s">
        <v>88</v>
      </c>
      <c r="J159" s="8"/>
    </row>
    <row r="160" customFormat="false" ht="15" hidden="false" customHeight="false" outlineLevel="0" collapsed="false">
      <c r="A160" s="5" t="s">
        <v>402</v>
      </c>
      <c r="B160" s="6" t="n">
        <v>45759</v>
      </c>
      <c r="C160" s="5" t="s">
        <v>228</v>
      </c>
      <c r="D160" s="5" t="s">
        <v>403</v>
      </c>
      <c r="E160" s="5" t="s">
        <v>230</v>
      </c>
      <c r="F160" s="7" t="n">
        <v>18488.44</v>
      </c>
      <c r="G160" s="5" t="s">
        <v>78</v>
      </c>
      <c r="H160" s="5" t="s">
        <v>46</v>
      </c>
      <c r="I160" s="5" t="s">
        <v>47</v>
      </c>
      <c r="J160" s="5"/>
    </row>
    <row r="161" customFormat="false" ht="15" hidden="false" customHeight="false" outlineLevel="0" collapsed="false">
      <c r="A161" s="8" t="s">
        <v>404</v>
      </c>
      <c r="B161" s="9" t="n">
        <v>45841</v>
      </c>
      <c r="C161" s="8" t="s">
        <v>65</v>
      </c>
      <c r="D161" s="8" t="s">
        <v>405</v>
      </c>
      <c r="E161" s="8" t="s">
        <v>67</v>
      </c>
      <c r="F161" s="10" t="n">
        <v>10653.15</v>
      </c>
      <c r="G161" s="8" t="s">
        <v>62</v>
      </c>
      <c r="H161" s="8" t="s">
        <v>46</v>
      </c>
      <c r="I161" s="8" t="s">
        <v>57</v>
      </c>
      <c r="J161" s="8"/>
    </row>
    <row r="162" customFormat="false" ht="15" hidden="false" customHeight="false" outlineLevel="0" collapsed="false">
      <c r="A162" s="5" t="s">
        <v>406</v>
      </c>
      <c r="B162" s="6" t="n">
        <v>45947</v>
      </c>
      <c r="C162" s="5" t="s">
        <v>128</v>
      </c>
      <c r="D162" s="5" t="s">
        <v>407</v>
      </c>
      <c r="E162" s="5" t="s">
        <v>130</v>
      </c>
      <c r="F162" s="7" t="n">
        <v>16009.82</v>
      </c>
      <c r="G162" s="5" t="s">
        <v>45</v>
      </c>
      <c r="H162" s="5" t="s">
        <v>39</v>
      </c>
      <c r="I162" s="5" t="s">
        <v>57</v>
      </c>
      <c r="J162" s="5"/>
    </row>
    <row r="163" customFormat="false" ht="15" hidden="false" customHeight="false" outlineLevel="0" collapsed="false">
      <c r="A163" s="8" t="s">
        <v>408</v>
      </c>
      <c r="B163" s="9" t="n">
        <v>45968</v>
      </c>
      <c r="C163" s="8" t="s">
        <v>75</v>
      </c>
      <c r="D163" s="8" t="s">
        <v>409</v>
      </c>
      <c r="E163" s="8" t="s">
        <v>77</v>
      </c>
      <c r="F163" s="10" t="n">
        <v>14844.65</v>
      </c>
      <c r="G163" s="8" t="s">
        <v>38</v>
      </c>
      <c r="H163" s="8" t="s">
        <v>39</v>
      </c>
      <c r="I163" s="8" t="s">
        <v>47</v>
      </c>
      <c r="J163" s="8"/>
    </row>
    <row r="164" customFormat="false" ht="15" hidden="false" customHeight="false" outlineLevel="0" collapsed="false">
      <c r="A164" s="5" t="s">
        <v>410</v>
      </c>
      <c r="B164" s="6" t="n">
        <v>46005</v>
      </c>
      <c r="C164" s="5" t="s">
        <v>83</v>
      </c>
      <c r="D164" s="5" t="s">
        <v>411</v>
      </c>
      <c r="E164" s="5" t="s">
        <v>85</v>
      </c>
      <c r="F164" s="7" t="n">
        <v>13989.18</v>
      </c>
      <c r="G164" s="5" t="s">
        <v>38</v>
      </c>
      <c r="H164" s="5" t="s">
        <v>39</v>
      </c>
      <c r="I164" s="5" t="s">
        <v>40</v>
      </c>
      <c r="J164" s="5"/>
    </row>
    <row r="165" customFormat="false" ht="15" hidden="false" customHeight="false" outlineLevel="0" collapsed="false">
      <c r="A165" s="8" t="s">
        <v>412</v>
      </c>
      <c r="B165" s="9" t="n">
        <v>45883</v>
      </c>
      <c r="C165" s="8" t="s">
        <v>90</v>
      </c>
      <c r="D165" s="8" t="s">
        <v>413</v>
      </c>
      <c r="E165" s="8" t="s">
        <v>92</v>
      </c>
      <c r="F165" s="10" t="n">
        <v>660.74</v>
      </c>
      <c r="G165" s="8" t="s">
        <v>62</v>
      </c>
      <c r="H165" s="8" t="s">
        <v>39</v>
      </c>
      <c r="I165" s="8" t="s">
        <v>47</v>
      </c>
      <c r="J165" s="8"/>
    </row>
    <row r="166" customFormat="false" ht="15" hidden="false" customHeight="false" outlineLevel="0" collapsed="false">
      <c r="A166" s="5" t="s">
        <v>414</v>
      </c>
      <c r="B166" s="6" t="n">
        <v>45825</v>
      </c>
      <c r="C166" s="5" t="s">
        <v>104</v>
      </c>
      <c r="D166" s="5" t="s">
        <v>415</v>
      </c>
      <c r="E166" s="5" t="s">
        <v>106</v>
      </c>
      <c r="F166" s="7" t="n">
        <v>13839.76</v>
      </c>
      <c r="G166" s="5" t="s">
        <v>38</v>
      </c>
      <c r="H166" s="5" t="s">
        <v>46</v>
      </c>
      <c r="I166" s="5" t="s">
        <v>47</v>
      </c>
      <c r="J166" s="5"/>
    </row>
    <row r="167" customFormat="false" ht="15" hidden="false" customHeight="false" outlineLevel="0" collapsed="false">
      <c r="A167" s="8" t="s">
        <v>416</v>
      </c>
      <c r="B167" s="9" t="n">
        <v>45929</v>
      </c>
      <c r="C167" s="8" t="s">
        <v>42</v>
      </c>
      <c r="D167" s="8" t="s">
        <v>417</v>
      </c>
      <c r="E167" s="8" t="s">
        <v>44</v>
      </c>
      <c r="F167" s="10" t="n">
        <v>9305.62</v>
      </c>
      <c r="G167" s="8" t="s">
        <v>62</v>
      </c>
      <c r="H167" s="8" t="s">
        <v>46</v>
      </c>
      <c r="I167" s="8" t="s">
        <v>88</v>
      </c>
      <c r="J167" s="8"/>
    </row>
    <row r="168" customFormat="false" ht="15" hidden="false" customHeight="false" outlineLevel="0" collapsed="false">
      <c r="A168" s="5" t="s">
        <v>418</v>
      </c>
      <c r="B168" s="6" t="n">
        <v>45831</v>
      </c>
      <c r="C168" s="5" t="s">
        <v>164</v>
      </c>
      <c r="D168" s="5" t="s">
        <v>419</v>
      </c>
      <c r="E168" s="5" t="s">
        <v>166</v>
      </c>
      <c r="F168" s="7" t="n">
        <v>14887.11</v>
      </c>
      <c r="G168" s="5" t="s">
        <v>78</v>
      </c>
      <c r="H168" s="5" t="s">
        <v>46</v>
      </c>
      <c r="I168" s="5" t="s">
        <v>47</v>
      </c>
      <c r="J168" s="5"/>
    </row>
    <row r="169" customFormat="false" ht="15" hidden="false" customHeight="false" outlineLevel="0" collapsed="false">
      <c r="A169" s="8" t="s">
        <v>420</v>
      </c>
      <c r="B169" s="9" t="n">
        <v>46003</v>
      </c>
      <c r="C169" s="8" t="s">
        <v>49</v>
      </c>
      <c r="D169" s="8" t="s">
        <v>421</v>
      </c>
      <c r="E169" s="8" t="s">
        <v>51</v>
      </c>
      <c r="F169" s="10" t="n">
        <v>18129.83</v>
      </c>
      <c r="G169" s="8" t="s">
        <v>62</v>
      </c>
      <c r="H169" s="8" t="s">
        <v>46</v>
      </c>
      <c r="I169" s="8" t="s">
        <v>57</v>
      </c>
      <c r="J169" s="8"/>
    </row>
    <row r="170" customFormat="false" ht="15" hidden="false" customHeight="false" outlineLevel="0" collapsed="false">
      <c r="A170" s="5" t="s">
        <v>422</v>
      </c>
      <c r="B170" s="6" t="n">
        <v>45932</v>
      </c>
      <c r="C170" s="5" t="s">
        <v>120</v>
      </c>
      <c r="D170" s="5" t="s">
        <v>423</v>
      </c>
      <c r="E170" s="5" t="s">
        <v>122</v>
      </c>
      <c r="F170" s="7" t="n">
        <v>2325.83</v>
      </c>
      <c r="G170" s="5" t="s">
        <v>62</v>
      </c>
      <c r="H170" s="5" t="s">
        <v>39</v>
      </c>
      <c r="I170" s="5" t="s">
        <v>88</v>
      </c>
      <c r="J170" s="5"/>
    </row>
    <row r="171" customFormat="false" ht="15" hidden="false" customHeight="false" outlineLevel="0" collapsed="false">
      <c r="A171" s="8" t="s">
        <v>424</v>
      </c>
      <c r="B171" s="9" t="n">
        <v>45984</v>
      </c>
      <c r="C171" s="8" t="s">
        <v>160</v>
      </c>
      <c r="D171" s="8" t="s">
        <v>425</v>
      </c>
      <c r="E171" s="8" t="s">
        <v>162</v>
      </c>
      <c r="F171" s="10" t="n">
        <v>17398.09</v>
      </c>
      <c r="G171" s="8" t="s">
        <v>45</v>
      </c>
      <c r="H171" s="8" t="s">
        <v>39</v>
      </c>
      <c r="I171" s="8" t="s">
        <v>47</v>
      </c>
      <c r="J171" s="8"/>
    </row>
    <row r="172" customFormat="false" ht="15" hidden="false" customHeight="false" outlineLevel="0" collapsed="false">
      <c r="A172" s="5" t="s">
        <v>426</v>
      </c>
      <c r="B172" s="6" t="n">
        <v>45975</v>
      </c>
      <c r="C172" s="5" t="s">
        <v>164</v>
      </c>
      <c r="D172" s="5" t="s">
        <v>427</v>
      </c>
      <c r="E172" s="5" t="s">
        <v>166</v>
      </c>
      <c r="F172" s="7" t="n">
        <v>16363.55</v>
      </c>
      <c r="G172" s="5" t="s">
        <v>62</v>
      </c>
      <c r="H172" s="5" t="s">
        <v>39</v>
      </c>
      <c r="I172" s="5" t="s">
        <v>47</v>
      </c>
      <c r="J172" s="5"/>
    </row>
    <row r="173" customFormat="false" ht="15" hidden="false" customHeight="false" outlineLevel="0" collapsed="false">
      <c r="A173" s="8" t="s">
        <v>428</v>
      </c>
      <c r="B173" s="9" t="n">
        <v>45895</v>
      </c>
      <c r="C173" s="8" t="s">
        <v>104</v>
      </c>
      <c r="D173" s="8" t="s">
        <v>429</v>
      </c>
      <c r="E173" s="8" t="s">
        <v>106</v>
      </c>
      <c r="F173" s="10" t="n">
        <v>16827.75</v>
      </c>
      <c r="G173" s="8" t="s">
        <v>62</v>
      </c>
      <c r="H173" s="8" t="s">
        <v>39</v>
      </c>
      <c r="I173" s="8" t="s">
        <v>57</v>
      </c>
      <c r="J173" s="8"/>
    </row>
    <row r="174" customFormat="false" ht="15" hidden="false" customHeight="false" outlineLevel="0" collapsed="false">
      <c r="A174" s="5" t="s">
        <v>430</v>
      </c>
      <c r="B174" s="6" t="n">
        <v>45681</v>
      </c>
      <c r="C174" s="5" t="s">
        <v>35</v>
      </c>
      <c r="D174" s="5" t="s">
        <v>431</v>
      </c>
      <c r="E174" s="5" t="s">
        <v>37</v>
      </c>
      <c r="F174" s="7" t="n">
        <v>17508.26</v>
      </c>
      <c r="G174" s="5" t="s">
        <v>62</v>
      </c>
      <c r="H174" s="5" t="s">
        <v>79</v>
      </c>
      <c r="I174" s="5" t="s">
        <v>40</v>
      </c>
      <c r="J174" s="5"/>
    </row>
    <row r="175" customFormat="false" ht="15" hidden="false" customHeight="false" outlineLevel="0" collapsed="false">
      <c r="A175" s="8" t="s">
        <v>432</v>
      </c>
      <c r="B175" s="9" t="n">
        <v>45933</v>
      </c>
      <c r="C175" s="8" t="s">
        <v>35</v>
      </c>
      <c r="D175" s="8" t="s">
        <v>433</v>
      </c>
      <c r="E175" s="8" t="s">
        <v>37</v>
      </c>
      <c r="F175" s="10" t="n">
        <v>2548.68</v>
      </c>
      <c r="G175" s="8" t="s">
        <v>78</v>
      </c>
      <c r="H175" s="8" t="s">
        <v>79</v>
      </c>
      <c r="I175" s="8" t="s">
        <v>52</v>
      </c>
      <c r="J175" s="8"/>
    </row>
    <row r="176" customFormat="false" ht="15" hidden="false" customHeight="false" outlineLevel="0" collapsed="false">
      <c r="A176" s="5" t="s">
        <v>434</v>
      </c>
      <c r="B176" s="6" t="n">
        <v>45737</v>
      </c>
      <c r="C176" s="5" t="s">
        <v>54</v>
      </c>
      <c r="D176" s="5" t="s">
        <v>435</v>
      </c>
      <c r="E176" s="5" t="s">
        <v>56</v>
      </c>
      <c r="F176" s="7" t="n">
        <v>16385.31</v>
      </c>
      <c r="G176" s="5" t="s">
        <v>45</v>
      </c>
      <c r="H176" s="5" t="s">
        <v>79</v>
      </c>
      <c r="I176" s="5" t="s">
        <v>52</v>
      </c>
      <c r="J176" s="5"/>
    </row>
    <row r="177" customFormat="false" ht="15" hidden="false" customHeight="false" outlineLevel="0" collapsed="false">
      <c r="A177" s="8" t="s">
        <v>436</v>
      </c>
      <c r="B177" s="9" t="n">
        <v>45674</v>
      </c>
      <c r="C177" s="8" t="s">
        <v>54</v>
      </c>
      <c r="D177" s="8" t="s">
        <v>437</v>
      </c>
      <c r="E177" s="8" t="s">
        <v>56</v>
      </c>
      <c r="F177" s="10" t="n">
        <v>12784.13</v>
      </c>
      <c r="G177" s="8" t="s">
        <v>38</v>
      </c>
      <c r="H177" s="8" t="s">
        <v>79</v>
      </c>
      <c r="I177" s="8" t="s">
        <v>57</v>
      </c>
      <c r="J177" s="8"/>
    </row>
    <row r="178" customFormat="false" ht="15" hidden="false" customHeight="false" outlineLevel="0" collapsed="false">
      <c r="A178" s="5" t="s">
        <v>438</v>
      </c>
      <c r="B178" s="6" t="n">
        <v>45708</v>
      </c>
      <c r="C178" s="5" t="s">
        <v>49</v>
      </c>
      <c r="D178" s="5" t="s">
        <v>439</v>
      </c>
      <c r="E178" s="5" t="s">
        <v>51</v>
      </c>
      <c r="F178" s="7" t="n">
        <v>18148.02</v>
      </c>
      <c r="G178" s="5" t="s">
        <v>62</v>
      </c>
      <c r="H178" s="5" t="s">
        <v>39</v>
      </c>
      <c r="I178" s="5" t="s">
        <v>88</v>
      </c>
      <c r="J178" s="5"/>
    </row>
    <row r="179" customFormat="false" ht="15" hidden="false" customHeight="false" outlineLevel="0" collapsed="false">
      <c r="A179" s="8" t="s">
        <v>440</v>
      </c>
      <c r="B179" s="9" t="n">
        <v>45799</v>
      </c>
      <c r="C179" s="8" t="s">
        <v>90</v>
      </c>
      <c r="D179" s="8" t="s">
        <v>441</v>
      </c>
      <c r="E179" s="8" t="s">
        <v>92</v>
      </c>
      <c r="F179" s="10" t="n">
        <v>3547.92</v>
      </c>
      <c r="G179" s="8" t="s">
        <v>45</v>
      </c>
      <c r="H179" s="8" t="s">
        <v>79</v>
      </c>
      <c r="I179" s="8" t="s">
        <v>40</v>
      </c>
      <c r="J179" s="8"/>
    </row>
    <row r="180" customFormat="false" ht="15" hidden="false" customHeight="false" outlineLevel="0" collapsed="false">
      <c r="A180" s="5" t="s">
        <v>442</v>
      </c>
      <c r="B180" s="6" t="n">
        <v>45985</v>
      </c>
      <c r="C180" s="5" t="s">
        <v>94</v>
      </c>
      <c r="D180" s="5" t="s">
        <v>443</v>
      </c>
      <c r="E180" s="5" t="s">
        <v>96</v>
      </c>
      <c r="F180" s="7" t="n">
        <v>11065.33</v>
      </c>
      <c r="G180" s="5" t="s">
        <v>45</v>
      </c>
      <c r="H180" s="5" t="s">
        <v>46</v>
      </c>
      <c r="I180" s="5" t="s">
        <v>88</v>
      </c>
      <c r="J180" s="5"/>
    </row>
    <row r="181" customFormat="false" ht="15" hidden="false" customHeight="false" outlineLevel="0" collapsed="false">
      <c r="A181" s="8" t="s">
        <v>444</v>
      </c>
      <c r="B181" s="9" t="n">
        <v>45947</v>
      </c>
      <c r="C181" s="8" t="s">
        <v>49</v>
      </c>
      <c r="D181" s="8" t="s">
        <v>445</v>
      </c>
      <c r="E181" s="8" t="s">
        <v>51</v>
      </c>
      <c r="F181" s="10" t="n">
        <v>3832.07</v>
      </c>
      <c r="G181" s="8" t="s">
        <v>38</v>
      </c>
      <c r="H181" s="8" t="s">
        <v>39</v>
      </c>
      <c r="I181" s="8" t="s">
        <v>47</v>
      </c>
      <c r="J181" s="8"/>
    </row>
    <row r="182" customFormat="false" ht="15" hidden="false" customHeight="false" outlineLevel="0" collapsed="false">
      <c r="A182" s="5" t="s">
        <v>446</v>
      </c>
      <c r="B182" s="6" t="n">
        <v>45733</v>
      </c>
      <c r="C182" s="5" t="s">
        <v>49</v>
      </c>
      <c r="D182" s="5" t="s">
        <v>447</v>
      </c>
      <c r="E182" s="5" t="s">
        <v>51</v>
      </c>
      <c r="F182" s="7" t="n">
        <v>14599.42</v>
      </c>
      <c r="G182" s="5" t="s">
        <v>45</v>
      </c>
      <c r="H182" s="5" t="s">
        <v>79</v>
      </c>
      <c r="I182" s="5" t="s">
        <v>47</v>
      </c>
      <c r="J182" s="5"/>
    </row>
    <row r="183" customFormat="false" ht="15" hidden="false" customHeight="false" outlineLevel="0" collapsed="false">
      <c r="A183" s="8" t="s">
        <v>448</v>
      </c>
      <c r="B183" s="9" t="n">
        <v>45786</v>
      </c>
      <c r="C183" s="8" t="s">
        <v>98</v>
      </c>
      <c r="D183" s="8" t="s">
        <v>449</v>
      </c>
      <c r="E183" s="8" t="s">
        <v>100</v>
      </c>
      <c r="F183" s="10" t="n">
        <v>14781.57</v>
      </c>
      <c r="G183" s="8" t="s">
        <v>45</v>
      </c>
      <c r="H183" s="8" t="s">
        <v>39</v>
      </c>
      <c r="I183" s="8" t="s">
        <v>40</v>
      </c>
      <c r="J183" s="8"/>
    </row>
    <row r="184" customFormat="false" ht="15" hidden="false" customHeight="false" outlineLevel="0" collapsed="false">
      <c r="A184" s="5" t="s">
        <v>450</v>
      </c>
      <c r="B184" s="6" t="n">
        <v>45841</v>
      </c>
      <c r="C184" s="5" t="s">
        <v>98</v>
      </c>
      <c r="D184" s="5" t="s">
        <v>451</v>
      </c>
      <c r="E184" s="5" t="s">
        <v>100</v>
      </c>
      <c r="F184" s="7" t="n">
        <v>14624.17</v>
      </c>
      <c r="G184" s="5" t="s">
        <v>38</v>
      </c>
      <c r="H184" s="5" t="s">
        <v>39</v>
      </c>
      <c r="I184" s="5" t="s">
        <v>88</v>
      </c>
      <c r="J184" s="5"/>
    </row>
    <row r="185" customFormat="false" ht="15" hidden="false" customHeight="false" outlineLevel="0" collapsed="false">
      <c r="A185" s="8" t="s">
        <v>452</v>
      </c>
      <c r="B185" s="9" t="n">
        <v>45793</v>
      </c>
      <c r="C185" s="8" t="s">
        <v>120</v>
      </c>
      <c r="D185" s="8" t="s">
        <v>453</v>
      </c>
      <c r="E185" s="8" t="s">
        <v>122</v>
      </c>
      <c r="F185" s="10" t="n">
        <v>1012.02</v>
      </c>
      <c r="G185" s="8" t="s">
        <v>78</v>
      </c>
      <c r="H185" s="8" t="s">
        <v>39</v>
      </c>
      <c r="I185" s="8" t="s">
        <v>40</v>
      </c>
      <c r="J185" s="8"/>
    </row>
    <row r="186" customFormat="false" ht="15" hidden="false" customHeight="false" outlineLevel="0" collapsed="false">
      <c r="A186" s="5" t="s">
        <v>454</v>
      </c>
      <c r="B186" s="6" t="n">
        <v>45887</v>
      </c>
      <c r="C186" s="5" t="s">
        <v>104</v>
      </c>
      <c r="D186" s="5" t="s">
        <v>455</v>
      </c>
      <c r="E186" s="5" t="s">
        <v>106</v>
      </c>
      <c r="F186" s="7" t="n">
        <v>14403.3</v>
      </c>
      <c r="G186" s="5" t="s">
        <v>45</v>
      </c>
      <c r="H186" s="5" t="s">
        <v>79</v>
      </c>
      <c r="I186" s="5" t="s">
        <v>52</v>
      </c>
      <c r="J186" s="5"/>
    </row>
    <row r="187" customFormat="false" ht="15" hidden="false" customHeight="false" outlineLevel="0" collapsed="false">
      <c r="A187" s="8" t="s">
        <v>456</v>
      </c>
      <c r="B187" s="9" t="n">
        <v>45680</v>
      </c>
      <c r="C187" s="8" t="s">
        <v>49</v>
      </c>
      <c r="D187" s="8" t="s">
        <v>457</v>
      </c>
      <c r="E187" s="8" t="s">
        <v>51</v>
      </c>
      <c r="F187" s="10" t="n">
        <v>13466.27</v>
      </c>
      <c r="G187" s="8" t="s">
        <v>62</v>
      </c>
      <c r="H187" s="8" t="s">
        <v>79</v>
      </c>
      <c r="I187" s="8" t="s">
        <v>40</v>
      </c>
      <c r="J187" s="8"/>
    </row>
    <row r="188" customFormat="false" ht="15" hidden="false" customHeight="false" outlineLevel="0" collapsed="false">
      <c r="A188" s="5" t="s">
        <v>458</v>
      </c>
      <c r="B188" s="6" t="n">
        <v>45863</v>
      </c>
      <c r="C188" s="5" t="s">
        <v>90</v>
      </c>
      <c r="D188" s="5" t="s">
        <v>459</v>
      </c>
      <c r="E188" s="5" t="s">
        <v>92</v>
      </c>
      <c r="F188" s="7" t="n">
        <v>7911.88</v>
      </c>
      <c r="G188" s="5" t="s">
        <v>45</v>
      </c>
      <c r="H188" s="5" t="s">
        <v>79</v>
      </c>
      <c r="I188" s="5" t="s">
        <v>57</v>
      </c>
      <c r="J188" s="5"/>
    </row>
    <row r="189" customFormat="false" ht="15" hidden="false" customHeight="false" outlineLevel="0" collapsed="false">
      <c r="A189" s="8" t="s">
        <v>460</v>
      </c>
      <c r="B189" s="9" t="n">
        <v>45822</v>
      </c>
      <c r="C189" s="8" t="s">
        <v>104</v>
      </c>
      <c r="D189" s="8" t="s">
        <v>461</v>
      </c>
      <c r="E189" s="8" t="s">
        <v>106</v>
      </c>
      <c r="F189" s="10" t="n">
        <v>11271.13</v>
      </c>
      <c r="G189" s="8" t="s">
        <v>45</v>
      </c>
      <c r="H189" s="8" t="s">
        <v>46</v>
      </c>
      <c r="I189" s="8" t="s">
        <v>88</v>
      </c>
      <c r="J189" s="8"/>
    </row>
    <row r="190" customFormat="false" ht="15" hidden="false" customHeight="false" outlineLevel="0" collapsed="false">
      <c r="A190" s="5" t="s">
        <v>462</v>
      </c>
      <c r="B190" s="6" t="n">
        <v>45957</v>
      </c>
      <c r="C190" s="5" t="s">
        <v>83</v>
      </c>
      <c r="D190" s="5" t="s">
        <v>463</v>
      </c>
      <c r="E190" s="5" t="s">
        <v>85</v>
      </c>
      <c r="F190" s="7" t="n">
        <v>10164.92</v>
      </c>
      <c r="G190" s="5" t="s">
        <v>62</v>
      </c>
      <c r="H190" s="5" t="s">
        <v>79</v>
      </c>
      <c r="I190" s="5" t="s">
        <v>52</v>
      </c>
      <c r="J190" s="5"/>
    </row>
    <row r="191" customFormat="false" ht="15" hidden="false" customHeight="false" outlineLevel="0" collapsed="false">
      <c r="A191" s="8" t="s">
        <v>464</v>
      </c>
      <c r="B191" s="9" t="n">
        <v>45890</v>
      </c>
      <c r="C191" s="8" t="s">
        <v>114</v>
      </c>
      <c r="D191" s="8" t="s">
        <v>465</v>
      </c>
      <c r="E191" s="8" t="s">
        <v>116</v>
      </c>
      <c r="F191" s="10" t="n">
        <v>9374.95</v>
      </c>
      <c r="G191" s="8" t="s">
        <v>78</v>
      </c>
      <c r="H191" s="8" t="s">
        <v>46</v>
      </c>
      <c r="I191" s="8" t="s">
        <v>40</v>
      </c>
      <c r="J191" s="8"/>
    </row>
    <row r="192" customFormat="false" ht="15" hidden="false" customHeight="false" outlineLevel="0" collapsed="false">
      <c r="A192" s="5" t="s">
        <v>466</v>
      </c>
      <c r="B192" s="6" t="n">
        <v>45878</v>
      </c>
      <c r="C192" s="5" t="s">
        <v>42</v>
      </c>
      <c r="D192" s="5" t="s">
        <v>467</v>
      </c>
      <c r="E192" s="5" t="s">
        <v>44</v>
      </c>
      <c r="F192" s="7" t="n">
        <v>8378.45</v>
      </c>
      <c r="G192" s="5" t="s">
        <v>38</v>
      </c>
      <c r="H192" s="5" t="s">
        <v>79</v>
      </c>
      <c r="I192" s="5" t="s">
        <v>88</v>
      </c>
      <c r="J192" s="5"/>
    </row>
    <row r="193" customFormat="false" ht="15" hidden="false" customHeight="false" outlineLevel="0" collapsed="false">
      <c r="A193" s="8" t="s">
        <v>468</v>
      </c>
      <c r="B193" s="9" t="n">
        <v>45870</v>
      </c>
      <c r="C193" s="8" t="s">
        <v>228</v>
      </c>
      <c r="D193" s="8" t="s">
        <v>469</v>
      </c>
      <c r="E193" s="8" t="s">
        <v>230</v>
      </c>
      <c r="F193" s="10" t="n">
        <v>13510</v>
      </c>
      <c r="G193" s="8" t="s">
        <v>62</v>
      </c>
      <c r="H193" s="8" t="s">
        <v>79</v>
      </c>
      <c r="I193" s="8" t="s">
        <v>88</v>
      </c>
      <c r="J193" s="8"/>
    </row>
    <row r="194" customFormat="false" ht="15" hidden="false" customHeight="false" outlineLevel="0" collapsed="false">
      <c r="A194" s="5" t="s">
        <v>470</v>
      </c>
      <c r="B194" s="6" t="n">
        <v>45736</v>
      </c>
      <c r="C194" s="5" t="s">
        <v>128</v>
      </c>
      <c r="D194" s="5" t="s">
        <v>471</v>
      </c>
      <c r="E194" s="5" t="s">
        <v>130</v>
      </c>
      <c r="F194" s="7" t="n">
        <v>12720.28</v>
      </c>
      <c r="G194" s="5" t="s">
        <v>78</v>
      </c>
      <c r="H194" s="5" t="s">
        <v>46</v>
      </c>
      <c r="I194" s="5" t="s">
        <v>40</v>
      </c>
      <c r="J194" s="5"/>
    </row>
    <row r="195" customFormat="false" ht="15" hidden="false" customHeight="false" outlineLevel="0" collapsed="false">
      <c r="A195" s="8" t="s">
        <v>472</v>
      </c>
      <c r="B195" s="9" t="n">
        <v>45879</v>
      </c>
      <c r="C195" s="8" t="s">
        <v>104</v>
      </c>
      <c r="D195" s="8" t="s">
        <v>473</v>
      </c>
      <c r="E195" s="8" t="s">
        <v>106</v>
      </c>
      <c r="F195" s="10" t="n">
        <v>1827.1</v>
      </c>
      <c r="G195" s="8" t="s">
        <v>62</v>
      </c>
      <c r="H195" s="8" t="s">
        <v>46</v>
      </c>
      <c r="I195" s="8" t="s">
        <v>52</v>
      </c>
      <c r="J195" s="8"/>
    </row>
    <row r="196" customFormat="false" ht="15" hidden="false" customHeight="false" outlineLevel="0" collapsed="false">
      <c r="A196" s="5" t="s">
        <v>474</v>
      </c>
      <c r="B196" s="6" t="n">
        <v>45945</v>
      </c>
      <c r="C196" s="5" t="s">
        <v>90</v>
      </c>
      <c r="D196" s="5" t="s">
        <v>475</v>
      </c>
      <c r="E196" s="5" t="s">
        <v>92</v>
      </c>
      <c r="F196" s="7" t="n">
        <v>10410.87</v>
      </c>
      <c r="G196" s="5" t="s">
        <v>45</v>
      </c>
      <c r="H196" s="5" t="s">
        <v>79</v>
      </c>
      <c r="I196" s="5" t="s">
        <v>88</v>
      </c>
      <c r="J196" s="5"/>
    </row>
    <row r="197" customFormat="false" ht="15" hidden="false" customHeight="false" outlineLevel="0" collapsed="false">
      <c r="A197" s="8" t="s">
        <v>476</v>
      </c>
      <c r="B197" s="9" t="n">
        <v>45805</v>
      </c>
      <c r="C197" s="8" t="s">
        <v>54</v>
      </c>
      <c r="D197" s="8" t="s">
        <v>477</v>
      </c>
      <c r="E197" s="8" t="s">
        <v>56</v>
      </c>
      <c r="F197" s="10" t="n">
        <v>11125.57</v>
      </c>
      <c r="G197" s="8" t="s">
        <v>62</v>
      </c>
      <c r="H197" s="8" t="s">
        <v>46</v>
      </c>
      <c r="I197" s="8" t="s">
        <v>52</v>
      </c>
      <c r="J197" s="8"/>
    </row>
    <row r="198" customFormat="false" ht="15" hidden="false" customHeight="false" outlineLevel="0" collapsed="false">
      <c r="A198" s="5" t="s">
        <v>478</v>
      </c>
      <c r="B198" s="6" t="n">
        <v>45737</v>
      </c>
      <c r="C198" s="5" t="s">
        <v>114</v>
      </c>
      <c r="D198" s="5" t="s">
        <v>479</v>
      </c>
      <c r="E198" s="5" t="s">
        <v>116</v>
      </c>
      <c r="F198" s="7" t="n">
        <v>12165.07</v>
      </c>
      <c r="G198" s="5" t="s">
        <v>38</v>
      </c>
      <c r="H198" s="5" t="s">
        <v>46</v>
      </c>
      <c r="I198" s="5" t="s">
        <v>88</v>
      </c>
      <c r="J198" s="5"/>
    </row>
    <row r="199" customFormat="false" ht="15" hidden="false" customHeight="false" outlineLevel="0" collapsed="false">
      <c r="A199" s="8" t="s">
        <v>480</v>
      </c>
      <c r="B199" s="9" t="n">
        <v>45716</v>
      </c>
      <c r="C199" s="8" t="s">
        <v>42</v>
      </c>
      <c r="D199" s="8" t="s">
        <v>481</v>
      </c>
      <c r="E199" s="8" t="s">
        <v>44</v>
      </c>
      <c r="F199" s="10" t="n">
        <v>14118.89</v>
      </c>
      <c r="G199" s="8" t="s">
        <v>38</v>
      </c>
      <c r="H199" s="8" t="s">
        <v>79</v>
      </c>
      <c r="I199" s="8" t="s">
        <v>52</v>
      </c>
      <c r="J199" s="8"/>
    </row>
    <row r="200" customFormat="false" ht="15" hidden="false" customHeight="false" outlineLevel="0" collapsed="false">
      <c r="A200" s="5" t="s">
        <v>482</v>
      </c>
      <c r="B200" s="6" t="n">
        <v>46003</v>
      </c>
      <c r="C200" s="5" t="s">
        <v>83</v>
      </c>
      <c r="D200" s="5" t="s">
        <v>483</v>
      </c>
      <c r="E200" s="5" t="s">
        <v>85</v>
      </c>
      <c r="F200" s="7" t="n">
        <v>11906.01</v>
      </c>
      <c r="G200" s="5" t="s">
        <v>45</v>
      </c>
      <c r="H200" s="5" t="s">
        <v>39</v>
      </c>
      <c r="I200" s="5" t="s">
        <v>88</v>
      </c>
      <c r="J200" s="5"/>
    </row>
    <row r="201" customFormat="false" ht="15" hidden="false" customHeight="false" outlineLevel="0" collapsed="false">
      <c r="A201" s="8" t="s">
        <v>484</v>
      </c>
      <c r="B201" s="9" t="n">
        <v>45797</v>
      </c>
      <c r="C201" s="8" t="s">
        <v>120</v>
      </c>
      <c r="D201" s="8" t="s">
        <v>485</v>
      </c>
      <c r="E201" s="8" t="s">
        <v>122</v>
      </c>
      <c r="F201" s="10" t="n">
        <v>13013.31</v>
      </c>
      <c r="G201" s="8" t="s">
        <v>62</v>
      </c>
      <c r="H201" s="8" t="s">
        <v>79</v>
      </c>
      <c r="I201" s="8" t="s">
        <v>88</v>
      </c>
      <c r="J201" s="8"/>
    </row>
    <row r="202" customFormat="false" ht="15" hidden="false" customHeight="false" outlineLevel="0" collapsed="false">
      <c r="A202" s="5" t="s">
        <v>486</v>
      </c>
      <c r="B202" s="6" t="n">
        <v>45731</v>
      </c>
      <c r="C202" s="5" t="s">
        <v>120</v>
      </c>
      <c r="D202" s="5" t="s">
        <v>487</v>
      </c>
      <c r="E202" s="5" t="s">
        <v>122</v>
      </c>
      <c r="F202" s="7" t="n">
        <v>10496.46</v>
      </c>
      <c r="G202" s="5" t="s">
        <v>78</v>
      </c>
      <c r="H202" s="5" t="s">
        <v>46</v>
      </c>
      <c r="I202" s="5" t="s">
        <v>47</v>
      </c>
      <c r="J202" s="5"/>
    </row>
    <row r="203" customFormat="false" ht="15" hidden="false" customHeight="false" outlineLevel="0" collapsed="false">
      <c r="A203" s="8" t="s">
        <v>488</v>
      </c>
      <c r="B203" s="9" t="n">
        <v>45929</v>
      </c>
      <c r="C203" s="8" t="s">
        <v>120</v>
      </c>
      <c r="D203" s="8" t="s">
        <v>489</v>
      </c>
      <c r="E203" s="8" t="s">
        <v>122</v>
      </c>
      <c r="F203" s="10" t="n">
        <v>4015.28</v>
      </c>
      <c r="G203" s="8" t="s">
        <v>78</v>
      </c>
      <c r="H203" s="8" t="s">
        <v>79</v>
      </c>
      <c r="I203" s="8" t="s">
        <v>88</v>
      </c>
      <c r="J203" s="8"/>
    </row>
    <row r="204" customFormat="false" ht="15" hidden="false" customHeight="false" outlineLevel="0" collapsed="false">
      <c r="A204" s="5" t="s">
        <v>490</v>
      </c>
      <c r="B204" s="6" t="n">
        <v>45817</v>
      </c>
      <c r="C204" s="5" t="s">
        <v>148</v>
      </c>
      <c r="D204" s="5" t="s">
        <v>491</v>
      </c>
      <c r="E204" s="5" t="s">
        <v>150</v>
      </c>
      <c r="F204" s="7" t="n">
        <v>13362.05</v>
      </c>
      <c r="G204" s="5" t="s">
        <v>45</v>
      </c>
      <c r="H204" s="5" t="s">
        <v>46</v>
      </c>
      <c r="I204" s="5" t="s">
        <v>47</v>
      </c>
      <c r="J204" s="5"/>
    </row>
    <row r="205" customFormat="false" ht="15" hidden="false" customHeight="false" outlineLevel="0" collapsed="false">
      <c r="A205" s="8" t="s">
        <v>492</v>
      </c>
      <c r="B205" s="9" t="n">
        <v>45683</v>
      </c>
      <c r="C205" s="8" t="s">
        <v>148</v>
      </c>
      <c r="D205" s="8" t="s">
        <v>493</v>
      </c>
      <c r="E205" s="8" t="s">
        <v>150</v>
      </c>
      <c r="F205" s="10" t="n">
        <v>12483.09</v>
      </c>
      <c r="G205" s="8" t="s">
        <v>62</v>
      </c>
      <c r="H205" s="8" t="s">
        <v>79</v>
      </c>
      <c r="I205" s="8" t="s">
        <v>57</v>
      </c>
      <c r="J205" s="8"/>
    </row>
    <row r="206" customFormat="false" ht="15" hidden="false" customHeight="false" outlineLevel="0" collapsed="false">
      <c r="A206" s="5" t="s">
        <v>494</v>
      </c>
      <c r="B206" s="6" t="n">
        <v>45884</v>
      </c>
      <c r="C206" s="5" t="s">
        <v>164</v>
      </c>
      <c r="D206" s="5" t="s">
        <v>495</v>
      </c>
      <c r="E206" s="5" t="s">
        <v>166</v>
      </c>
      <c r="F206" s="7" t="n">
        <v>7688.76</v>
      </c>
      <c r="G206" s="5" t="s">
        <v>38</v>
      </c>
      <c r="H206" s="5" t="s">
        <v>39</v>
      </c>
      <c r="I206" s="5" t="s">
        <v>40</v>
      </c>
      <c r="J206" s="5"/>
    </row>
    <row r="207" customFormat="false" ht="15" hidden="false" customHeight="false" outlineLevel="0" collapsed="false">
      <c r="A207" s="8" t="s">
        <v>496</v>
      </c>
      <c r="B207" s="9" t="n">
        <v>45714</v>
      </c>
      <c r="C207" s="8" t="s">
        <v>71</v>
      </c>
      <c r="D207" s="8" t="s">
        <v>497</v>
      </c>
      <c r="E207" s="8" t="s">
        <v>73</v>
      </c>
      <c r="F207" s="10" t="n">
        <v>5272.31</v>
      </c>
      <c r="G207" s="8" t="s">
        <v>78</v>
      </c>
      <c r="H207" s="8" t="s">
        <v>39</v>
      </c>
      <c r="I207" s="8" t="s">
        <v>88</v>
      </c>
      <c r="J207" s="8"/>
    </row>
    <row r="208" customFormat="false" ht="15" hidden="false" customHeight="false" outlineLevel="0" collapsed="false">
      <c r="A208" s="5" t="s">
        <v>498</v>
      </c>
      <c r="B208" s="6" t="n">
        <v>45860</v>
      </c>
      <c r="C208" s="5" t="s">
        <v>90</v>
      </c>
      <c r="D208" s="5" t="s">
        <v>499</v>
      </c>
      <c r="E208" s="5" t="s">
        <v>92</v>
      </c>
      <c r="F208" s="7" t="n">
        <v>18212.94</v>
      </c>
      <c r="G208" s="5" t="s">
        <v>45</v>
      </c>
      <c r="H208" s="5" t="s">
        <v>46</v>
      </c>
      <c r="I208" s="5" t="s">
        <v>47</v>
      </c>
      <c r="J208" s="5"/>
    </row>
    <row r="209" customFormat="false" ht="15" hidden="false" customHeight="false" outlineLevel="0" collapsed="false">
      <c r="A209" s="8" t="s">
        <v>500</v>
      </c>
      <c r="B209" s="9" t="n">
        <v>45728</v>
      </c>
      <c r="C209" s="8" t="s">
        <v>75</v>
      </c>
      <c r="D209" s="8" t="s">
        <v>501</v>
      </c>
      <c r="E209" s="8" t="s">
        <v>77</v>
      </c>
      <c r="F209" s="10" t="n">
        <v>14147.59</v>
      </c>
      <c r="G209" s="8" t="s">
        <v>62</v>
      </c>
      <c r="H209" s="8" t="s">
        <v>79</v>
      </c>
      <c r="I209" s="8" t="s">
        <v>40</v>
      </c>
      <c r="J209" s="8"/>
    </row>
    <row r="210" customFormat="false" ht="15" hidden="false" customHeight="false" outlineLevel="0" collapsed="false">
      <c r="A210" s="5" t="s">
        <v>502</v>
      </c>
      <c r="B210" s="6" t="n">
        <v>45878</v>
      </c>
      <c r="C210" s="5" t="s">
        <v>120</v>
      </c>
      <c r="D210" s="5" t="s">
        <v>503</v>
      </c>
      <c r="E210" s="5" t="s">
        <v>122</v>
      </c>
      <c r="F210" s="7" t="n">
        <v>3287.45</v>
      </c>
      <c r="G210" s="5" t="s">
        <v>78</v>
      </c>
      <c r="H210" s="5" t="s">
        <v>39</v>
      </c>
      <c r="I210" s="5" t="s">
        <v>47</v>
      </c>
      <c r="J210" s="5"/>
    </row>
    <row r="211" customFormat="false" ht="15" hidden="false" customHeight="false" outlineLevel="0" collapsed="false">
      <c r="A211" s="8" t="s">
        <v>504</v>
      </c>
      <c r="B211" s="9" t="n">
        <v>46000</v>
      </c>
      <c r="C211" s="8" t="s">
        <v>114</v>
      </c>
      <c r="D211" s="8" t="s">
        <v>505</v>
      </c>
      <c r="E211" s="8" t="s">
        <v>116</v>
      </c>
      <c r="F211" s="10" t="n">
        <v>14923.42</v>
      </c>
      <c r="G211" s="8" t="s">
        <v>45</v>
      </c>
      <c r="H211" s="8" t="s">
        <v>79</v>
      </c>
      <c r="I211" s="8" t="s">
        <v>40</v>
      </c>
      <c r="J211" s="8"/>
    </row>
    <row r="212" customFormat="false" ht="15" hidden="false" customHeight="false" outlineLevel="0" collapsed="false">
      <c r="A212" s="5" t="s">
        <v>506</v>
      </c>
      <c r="B212" s="6" t="n">
        <v>45893</v>
      </c>
      <c r="C212" s="5" t="s">
        <v>54</v>
      </c>
      <c r="D212" s="5" t="s">
        <v>507</v>
      </c>
      <c r="E212" s="5" t="s">
        <v>56</v>
      </c>
      <c r="F212" s="7" t="n">
        <v>17045.05</v>
      </c>
      <c r="G212" s="5" t="s">
        <v>62</v>
      </c>
      <c r="H212" s="5" t="s">
        <v>39</v>
      </c>
      <c r="I212" s="5" t="s">
        <v>57</v>
      </c>
      <c r="J212" s="5"/>
    </row>
    <row r="213" customFormat="false" ht="15" hidden="false" customHeight="false" outlineLevel="0" collapsed="false">
      <c r="A213" s="8" t="s">
        <v>508</v>
      </c>
      <c r="B213" s="9" t="n">
        <v>46021</v>
      </c>
      <c r="C213" s="8" t="s">
        <v>160</v>
      </c>
      <c r="D213" s="8" t="s">
        <v>509</v>
      </c>
      <c r="E213" s="8" t="s">
        <v>162</v>
      </c>
      <c r="F213" s="10" t="n">
        <v>11858.81</v>
      </c>
      <c r="G213" s="8" t="s">
        <v>62</v>
      </c>
      <c r="H213" s="8" t="s">
        <v>46</v>
      </c>
      <c r="I213" s="8" t="s">
        <v>57</v>
      </c>
      <c r="J213" s="8"/>
    </row>
    <row r="214" customFormat="false" ht="15" hidden="false" customHeight="false" outlineLevel="0" collapsed="false">
      <c r="A214" s="5" t="s">
        <v>510</v>
      </c>
      <c r="B214" s="6" t="n">
        <v>45745</v>
      </c>
      <c r="C214" s="5" t="s">
        <v>120</v>
      </c>
      <c r="D214" s="5" t="s">
        <v>511</v>
      </c>
      <c r="E214" s="5" t="s">
        <v>122</v>
      </c>
      <c r="F214" s="7" t="n">
        <v>14833.4</v>
      </c>
      <c r="G214" s="5" t="s">
        <v>78</v>
      </c>
      <c r="H214" s="5" t="s">
        <v>39</v>
      </c>
      <c r="I214" s="5" t="s">
        <v>88</v>
      </c>
      <c r="J214" s="5"/>
    </row>
    <row r="215" customFormat="false" ht="15" hidden="false" customHeight="false" outlineLevel="0" collapsed="false">
      <c r="A215" s="8" t="s">
        <v>512</v>
      </c>
      <c r="B215" s="9" t="n">
        <v>45712</v>
      </c>
      <c r="C215" s="8" t="s">
        <v>104</v>
      </c>
      <c r="D215" s="8" t="s">
        <v>513</v>
      </c>
      <c r="E215" s="8" t="s">
        <v>106</v>
      </c>
      <c r="F215" s="10" t="n">
        <v>4535.41</v>
      </c>
      <c r="G215" s="8" t="s">
        <v>78</v>
      </c>
      <c r="H215" s="8" t="s">
        <v>39</v>
      </c>
      <c r="I215" s="8" t="s">
        <v>40</v>
      </c>
      <c r="J215" s="8"/>
    </row>
    <row r="216" customFormat="false" ht="15" hidden="false" customHeight="false" outlineLevel="0" collapsed="false">
      <c r="A216" s="5" t="s">
        <v>514</v>
      </c>
      <c r="B216" s="6" t="n">
        <v>45831</v>
      </c>
      <c r="C216" s="5" t="s">
        <v>65</v>
      </c>
      <c r="D216" s="5" t="s">
        <v>515</v>
      </c>
      <c r="E216" s="5" t="s">
        <v>67</v>
      </c>
      <c r="F216" s="7" t="n">
        <v>4134.11</v>
      </c>
      <c r="G216" s="5" t="s">
        <v>38</v>
      </c>
      <c r="H216" s="5" t="s">
        <v>46</v>
      </c>
      <c r="I216" s="5" t="s">
        <v>52</v>
      </c>
      <c r="J216" s="5"/>
    </row>
    <row r="217" customFormat="false" ht="15" hidden="false" customHeight="false" outlineLevel="0" collapsed="false">
      <c r="A217" s="8" t="s">
        <v>516</v>
      </c>
      <c r="B217" s="9" t="n">
        <v>45919</v>
      </c>
      <c r="C217" s="8" t="s">
        <v>35</v>
      </c>
      <c r="D217" s="8" t="s">
        <v>517</v>
      </c>
      <c r="E217" s="8" t="s">
        <v>37</v>
      </c>
      <c r="F217" s="10" t="n">
        <v>3623.49</v>
      </c>
      <c r="G217" s="8" t="s">
        <v>62</v>
      </c>
      <c r="H217" s="8" t="s">
        <v>79</v>
      </c>
      <c r="I217" s="8" t="s">
        <v>47</v>
      </c>
      <c r="J217" s="8"/>
    </row>
    <row r="218" customFormat="false" ht="15" hidden="false" customHeight="false" outlineLevel="0" collapsed="false">
      <c r="A218" s="5" t="s">
        <v>518</v>
      </c>
      <c r="B218" s="6" t="n">
        <v>45732</v>
      </c>
      <c r="C218" s="5" t="s">
        <v>49</v>
      </c>
      <c r="D218" s="5" t="s">
        <v>519</v>
      </c>
      <c r="E218" s="5" t="s">
        <v>51</v>
      </c>
      <c r="F218" s="7" t="n">
        <v>4768.89</v>
      </c>
      <c r="G218" s="5" t="s">
        <v>38</v>
      </c>
      <c r="H218" s="5" t="s">
        <v>39</v>
      </c>
      <c r="I218" s="5" t="s">
        <v>47</v>
      </c>
      <c r="J218" s="5"/>
    </row>
    <row r="219" customFormat="false" ht="15" hidden="false" customHeight="false" outlineLevel="0" collapsed="false">
      <c r="A219" s="8" t="s">
        <v>520</v>
      </c>
      <c r="B219" s="9" t="n">
        <v>45979</v>
      </c>
      <c r="C219" s="8" t="s">
        <v>104</v>
      </c>
      <c r="D219" s="8" t="s">
        <v>521</v>
      </c>
      <c r="E219" s="8" t="s">
        <v>106</v>
      </c>
      <c r="F219" s="10" t="n">
        <v>9163.93</v>
      </c>
      <c r="G219" s="8" t="s">
        <v>78</v>
      </c>
      <c r="H219" s="8" t="s">
        <v>39</v>
      </c>
      <c r="I219" s="8" t="s">
        <v>52</v>
      </c>
      <c r="J219" s="8"/>
    </row>
    <row r="220" customFormat="false" ht="15" hidden="false" customHeight="false" outlineLevel="0" collapsed="false">
      <c r="A220" s="5" t="s">
        <v>522</v>
      </c>
      <c r="B220" s="6" t="n">
        <v>45979</v>
      </c>
      <c r="C220" s="5" t="s">
        <v>83</v>
      </c>
      <c r="D220" s="5" t="s">
        <v>729</v>
      </c>
      <c r="E220" s="5" t="s">
        <v>85</v>
      </c>
      <c r="F220" s="7" t="n">
        <v>5879.34</v>
      </c>
      <c r="G220" s="5" t="s">
        <v>78</v>
      </c>
      <c r="H220" s="5" t="s">
        <v>46</v>
      </c>
      <c r="I220" s="5" t="s">
        <v>57</v>
      </c>
      <c r="J220" s="5"/>
    </row>
    <row r="221" customFormat="false" ht="15" hidden="false" customHeight="false" outlineLevel="0" collapsed="false">
      <c r="A221" s="8" t="s">
        <v>524</v>
      </c>
      <c r="B221" s="9" t="n">
        <v>45813</v>
      </c>
      <c r="C221" s="8" t="s">
        <v>228</v>
      </c>
      <c r="D221" s="8" t="s">
        <v>525</v>
      </c>
      <c r="E221" s="8" t="s">
        <v>230</v>
      </c>
      <c r="F221" s="10" t="n">
        <v>14741.26</v>
      </c>
      <c r="G221" s="8" t="s">
        <v>45</v>
      </c>
      <c r="H221" s="8" t="s">
        <v>79</v>
      </c>
      <c r="I221" s="8" t="s">
        <v>52</v>
      </c>
      <c r="J221" s="8"/>
    </row>
    <row r="222" customFormat="false" ht="15" hidden="false" customHeight="false" outlineLevel="0" collapsed="false">
      <c r="A222" s="5" t="s">
        <v>526</v>
      </c>
      <c r="B222" s="6" t="n">
        <v>45894</v>
      </c>
      <c r="C222" s="5" t="s">
        <v>104</v>
      </c>
      <c r="D222" s="5" t="s">
        <v>527</v>
      </c>
      <c r="E222" s="5" t="s">
        <v>106</v>
      </c>
      <c r="F222" s="7" t="n">
        <v>8385.07</v>
      </c>
      <c r="G222" s="5" t="s">
        <v>45</v>
      </c>
      <c r="H222" s="5" t="s">
        <v>79</v>
      </c>
      <c r="I222" s="5" t="s">
        <v>88</v>
      </c>
      <c r="J222" s="5"/>
    </row>
    <row r="223" customFormat="false" ht="15" hidden="false" customHeight="false" outlineLevel="0" collapsed="false">
      <c r="A223" s="8" t="s">
        <v>528</v>
      </c>
      <c r="B223" s="9" t="n">
        <v>45704</v>
      </c>
      <c r="C223" s="8" t="s">
        <v>104</v>
      </c>
      <c r="D223" s="8" t="s">
        <v>529</v>
      </c>
      <c r="E223" s="8" t="s">
        <v>106</v>
      </c>
      <c r="F223" s="10" t="n">
        <v>11394.98</v>
      </c>
      <c r="G223" s="8" t="s">
        <v>78</v>
      </c>
      <c r="H223" s="8" t="s">
        <v>79</v>
      </c>
      <c r="I223" s="8" t="s">
        <v>52</v>
      </c>
      <c r="J223" s="8"/>
    </row>
    <row r="224" customFormat="false" ht="15" hidden="false" customHeight="false" outlineLevel="0" collapsed="false">
      <c r="A224" s="5" t="s">
        <v>530</v>
      </c>
      <c r="B224" s="6" t="n">
        <v>45888</v>
      </c>
      <c r="C224" s="5" t="s">
        <v>42</v>
      </c>
      <c r="D224" s="5" t="s">
        <v>531</v>
      </c>
      <c r="E224" s="5" t="s">
        <v>44</v>
      </c>
      <c r="F224" s="7" t="n">
        <v>16821.52</v>
      </c>
      <c r="G224" s="5" t="s">
        <v>38</v>
      </c>
      <c r="H224" s="5" t="s">
        <v>79</v>
      </c>
      <c r="I224" s="5" t="s">
        <v>52</v>
      </c>
      <c r="J224" s="5"/>
    </row>
    <row r="225" customFormat="false" ht="15" hidden="false" customHeight="false" outlineLevel="0" collapsed="false">
      <c r="A225" s="8" t="s">
        <v>532</v>
      </c>
      <c r="B225" s="9" t="n">
        <v>45735</v>
      </c>
      <c r="C225" s="8" t="s">
        <v>164</v>
      </c>
      <c r="D225" s="8" t="s">
        <v>533</v>
      </c>
      <c r="E225" s="8" t="s">
        <v>166</v>
      </c>
      <c r="F225" s="10" t="n">
        <v>17719.77</v>
      </c>
      <c r="G225" s="8" t="s">
        <v>78</v>
      </c>
      <c r="H225" s="8" t="s">
        <v>46</v>
      </c>
      <c r="I225" s="8" t="s">
        <v>88</v>
      </c>
      <c r="J225" s="8"/>
    </row>
    <row r="226" customFormat="false" ht="15" hidden="false" customHeight="false" outlineLevel="0" collapsed="false">
      <c r="A226" s="5" t="s">
        <v>534</v>
      </c>
      <c r="B226" s="6" t="n">
        <v>45988</v>
      </c>
      <c r="C226" s="5" t="s">
        <v>104</v>
      </c>
      <c r="D226" s="5" t="s">
        <v>535</v>
      </c>
      <c r="E226" s="5" t="s">
        <v>106</v>
      </c>
      <c r="F226" s="7" t="n">
        <v>3229.57</v>
      </c>
      <c r="G226" s="5" t="s">
        <v>38</v>
      </c>
      <c r="H226" s="5" t="s">
        <v>39</v>
      </c>
      <c r="I226" s="5" t="s">
        <v>57</v>
      </c>
      <c r="J226" s="5"/>
    </row>
    <row r="227" customFormat="false" ht="15" hidden="false" customHeight="false" outlineLevel="0" collapsed="false">
      <c r="A227" s="8" t="s">
        <v>536</v>
      </c>
      <c r="B227" s="9" t="n">
        <v>45925</v>
      </c>
      <c r="C227" s="8" t="s">
        <v>228</v>
      </c>
      <c r="D227" s="8" t="s">
        <v>537</v>
      </c>
      <c r="E227" s="8" t="s">
        <v>230</v>
      </c>
      <c r="F227" s="10" t="n">
        <v>11298.96</v>
      </c>
      <c r="G227" s="8" t="s">
        <v>62</v>
      </c>
      <c r="H227" s="8" t="s">
        <v>79</v>
      </c>
      <c r="I227" s="8" t="s">
        <v>88</v>
      </c>
      <c r="J227" s="8"/>
    </row>
    <row r="228" customFormat="false" ht="15" hidden="false" customHeight="false" outlineLevel="0" collapsed="false">
      <c r="A228" s="5" t="s">
        <v>538</v>
      </c>
      <c r="B228" s="6" t="n">
        <v>45831</v>
      </c>
      <c r="C228" s="5" t="s">
        <v>65</v>
      </c>
      <c r="D228" s="5" t="s">
        <v>539</v>
      </c>
      <c r="E228" s="5" t="s">
        <v>67</v>
      </c>
      <c r="F228" s="7" t="n">
        <v>12574.06</v>
      </c>
      <c r="G228" s="5" t="s">
        <v>45</v>
      </c>
      <c r="H228" s="5" t="s">
        <v>39</v>
      </c>
      <c r="I228" s="5" t="s">
        <v>88</v>
      </c>
      <c r="J228" s="5"/>
    </row>
    <row r="229" customFormat="false" ht="15" hidden="false" customHeight="false" outlineLevel="0" collapsed="false">
      <c r="A229" s="8" t="s">
        <v>540</v>
      </c>
      <c r="B229" s="9" t="n">
        <v>45706</v>
      </c>
      <c r="C229" s="8" t="s">
        <v>104</v>
      </c>
      <c r="D229" s="8" t="s">
        <v>541</v>
      </c>
      <c r="E229" s="8" t="s">
        <v>106</v>
      </c>
      <c r="F229" s="10" t="n">
        <v>10342.21</v>
      </c>
      <c r="G229" s="8" t="s">
        <v>78</v>
      </c>
      <c r="H229" s="8" t="s">
        <v>79</v>
      </c>
      <c r="I229" s="8" t="s">
        <v>88</v>
      </c>
      <c r="J229" s="8"/>
    </row>
    <row r="230" customFormat="false" ht="15" hidden="false" customHeight="false" outlineLevel="0" collapsed="false">
      <c r="A230" s="5" t="s">
        <v>542</v>
      </c>
      <c r="B230" s="6" t="n">
        <v>45828</v>
      </c>
      <c r="C230" s="5" t="s">
        <v>83</v>
      </c>
      <c r="D230" s="5" t="s">
        <v>543</v>
      </c>
      <c r="E230" s="5" t="s">
        <v>85</v>
      </c>
      <c r="F230" s="7" t="n">
        <v>1549.12</v>
      </c>
      <c r="G230" s="5" t="s">
        <v>38</v>
      </c>
      <c r="H230" s="5" t="s">
        <v>79</v>
      </c>
      <c r="I230" s="5" t="s">
        <v>88</v>
      </c>
      <c r="J230" s="5"/>
    </row>
    <row r="231" customFormat="false" ht="15" hidden="false" customHeight="false" outlineLevel="0" collapsed="false">
      <c r="A231" s="8" t="s">
        <v>544</v>
      </c>
      <c r="B231" s="9" t="n">
        <v>45962</v>
      </c>
      <c r="C231" s="8" t="s">
        <v>65</v>
      </c>
      <c r="D231" s="8" t="s">
        <v>545</v>
      </c>
      <c r="E231" s="8" t="s">
        <v>67</v>
      </c>
      <c r="F231" s="10" t="n">
        <v>13126.53</v>
      </c>
      <c r="G231" s="8" t="s">
        <v>45</v>
      </c>
      <c r="H231" s="8" t="s">
        <v>79</v>
      </c>
      <c r="I231" s="8" t="s">
        <v>52</v>
      </c>
      <c r="J231" s="8"/>
    </row>
    <row r="232" customFormat="false" ht="15" hidden="false" customHeight="false" outlineLevel="0" collapsed="false">
      <c r="A232" s="5" t="s">
        <v>546</v>
      </c>
      <c r="B232" s="6" t="n">
        <v>45826</v>
      </c>
      <c r="C232" s="5" t="s">
        <v>65</v>
      </c>
      <c r="D232" s="5" t="s">
        <v>547</v>
      </c>
      <c r="E232" s="5" t="s">
        <v>67</v>
      </c>
      <c r="F232" s="7" t="n">
        <v>15052.33</v>
      </c>
      <c r="G232" s="5" t="s">
        <v>45</v>
      </c>
      <c r="H232" s="5" t="s">
        <v>39</v>
      </c>
      <c r="I232" s="5" t="s">
        <v>57</v>
      </c>
      <c r="J232" s="5"/>
    </row>
    <row r="233" customFormat="false" ht="15" hidden="false" customHeight="false" outlineLevel="0" collapsed="false">
      <c r="A233" s="8" t="s">
        <v>548</v>
      </c>
      <c r="B233" s="9" t="n">
        <v>45667</v>
      </c>
      <c r="C233" s="8" t="s">
        <v>114</v>
      </c>
      <c r="D233" s="8" t="s">
        <v>549</v>
      </c>
      <c r="E233" s="8" t="s">
        <v>116</v>
      </c>
      <c r="F233" s="10" t="n">
        <v>6736.74</v>
      </c>
      <c r="G233" s="8" t="s">
        <v>38</v>
      </c>
      <c r="H233" s="8" t="s">
        <v>46</v>
      </c>
      <c r="I233" s="8" t="s">
        <v>88</v>
      </c>
      <c r="J233" s="8"/>
    </row>
    <row r="234" customFormat="false" ht="15" hidden="false" customHeight="false" outlineLevel="0" collapsed="false">
      <c r="A234" s="5" t="s">
        <v>550</v>
      </c>
      <c r="B234" s="6" t="n">
        <v>45773</v>
      </c>
      <c r="C234" s="5" t="s">
        <v>164</v>
      </c>
      <c r="D234" s="5" t="s">
        <v>551</v>
      </c>
      <c r="E234" s="5" t="s">
        <v>166</v>
      </c>
      <c r="F234" s="7" t="n">
        <v>18499.57</v>
      </c>
      <c r="G234" s="5" t="s">
        <v>38</v>
      </c>
      <c r="H234" s="5" t="s">
        <v>46</v>
      </c>
      <c r="I234" s="5" t="s">
        <v>88</v>
      </c>
      <c r="J234" s="5"/>
    </row>
    <row r="235" customFormat="false" ht="15" hidden="false" customHeight="false" outlineLevel="0" collapsed="false">
      <c r="A235" s="8" t="s">
        <v>552</v>
      </c>
      <c r="B235" s="9" t="n">
        <v>45934</v>
      </c>
      <c r="C235" s="8" t="s">
        <v>35</v>
      </c>
      <c r="D235" s="8" t="s">
        <v>553</v>
      </c>
      <c r="E235" s="8" t="s">
        <v>37</v>
      </c>
      <c r="F235" s="10" t="n">
        <v>15457.14</v>
      </c>
      <c r="G235" s="8" t="s">
        <v>45</v>
      </c>
      <c r="H235" s="8" t="s">
        <v>39</v>
      </c>
      <c r="I235" s="8" t="s">
        <v>88</v>
      </c>
      <c r="J235" s="8"/>
    </row>
    <row r="236" customFormat="false" ht="15" hidden="false" customHeight="false" outlineLevel="0" collapsed="false">
      <c r="A236" s="5" t="s">
        <v>554</v>
      </c>
      <c r="B236" s="6" t="n">
        <v>45963</v>
      </c>
      <c r="C236" s="5" t="s">
        <v>83</v>
      </c>
      <c r="D236" s="5" t="s">
        <v>555</v>
      </c>
      <c r="E236" s="5" t="s">
        <v>85</v>
      </c>
      <c r="F236" s="7" t="n">
        <v>6997.37</v>
      </c>
      <c r="G236" s="5" t="s">
        <v>38</v>
      </c>
      <c r="H236" s="5" t="s">
        <v>46</v>
      </c>
      <c r="I236" s="5" t="s">
        <v>52</v>
      </c>
      <c r="J236" s="5"/>
    </row>
    <row r="237" customFormat="false" ht="15" hidden="false" customHeight="false" outlineLevel="0" collapsed="false">
      <c r="A237" s="8" t="s">
        <v>556</v>
      </c>
      <c r="B237" s="9" t="n">
        <v>45680</v>
      </c>
      <c r="C237" s="8" t="s">
        <v>148</v>
      </c>
      <c r="D237" s="8" t="s">
        <v>557</v>
      </c>
      <c r="E237" s="8" t="s">
        <v>150</v>
      </c>
      <c r="F237" s="10" t="n">
        <v>7627.4</v>
      </c>
      <c r="G237" s="8" t="s">
        <v>38</v>
      </c>
      <c r="H237" s="8" t="s">
        <v>79</v>
      </c>
      <c r="I237" s="8" t="s">
        <v>52</v>
      </c>
      <c r="J237" s="8"/>
    </row>
    <row r="238" customFormat="false" ht="15" hidden="false" customHeight="false" outlineLevel="0" collapsed="false">
      <c r="A238" s="5" t="s">
        <v>558</v>
      </c>
      <c r="B238" s="6" t="n">
        <v>45777</v>
      </c>
      <c r="C238" s="5" t="s">
        <v>75</v>
      </c>
      <c r="D238" s="5" t="s">
        <v>559</v>
      </c>
      <c r="E238" s="5" t="s">
        <v>77</v>
      </c>
      <c r="F238" s="7" t="n">
        <v>9900.18</v>
      </c>
      <c r="G238" s="5" t="s">
        <v>62</v>
      </c>
      <c r="H238" s="5" t="s">
        <v>79</v>
      </c>
      <c r="I238" s="5" t="s">
        <v>47</v>
      </c>
      <c r="J238" s="5"/>
    </row>
    <row r="239" customFormat="false" ht="15" hidden="false" customHeight="false" outlineLevel="0" collapsed="false">
      <c r="A239" s="8" t="s">
        <v>560</v>
      </c>
      <c r="B239" s="9" t="n">
        <v>45950</v>
      </c>
      <c r="C239" s="8" t="s">
        <v>71</v>
      </c>
      <c r="D239" s="8" t="s">
        <v>561</v>
      </c>
      <c r="E239" s="8" t="s">
        <v>73</v>
      </c>
      <c r="F239" s="10" t="n">
        <v>18212.84</v>
      </c>
      <c r="G239" s="8" t="s">
        <v>78</v>
      </c>
      <c r="H239" s="8" t="s">
        <v>79</v>
      </c>
      <c r="I239" s="8" t="s">
        <v>57</v>
      </c>
      <c r="J239" s="8"/>
    </row>
    <row r="240" customFormat="false" ht="15" hidden="false" customHeight="false" outlineLevel="0" collapsed="false">
      <c r="A240" s="5" t="s">
        <v>562</v>
      </c>
      <c r="B240" s="6" t="n">
        <v>45872</v>
      </c>
      <c r="C240" s="5" t="s">
        <v>114</v>
      </c>
      <c r="D240" s="5" t="s">
        <v>563</v>
      </c>
      <c r="E240" s="5" t="s">
        <v>116</v>
      </c>
      <c r="F240" s="7" t="n">
        <v>17877.48</v>
      </c>
      <c r="G240" s="5" t="s">
        <v>38</v>
      </c>
      <c r="H240" s="5" t="s">
        <v>39</v>
      </c>
      <c r="I240" s="5" t="s">
        <v>47</v>
      </c>
      <c r="J240" s="5"/>
    </row>
    <row r="241" customFormat="false" ht="15" hidden="false" customHeight="false" outlineLevel="0" collapsed="false">
      <c r="A241" s="8" t="s">
        <v>564</v>
      </c>
      <c r="B241" s="9" t="n">
        <v>45986</v>
      </c>
      <c r="C241" s="8" t="s">
        <v>128</v>
      </c>
      <c r="D241" s="8" t="s">
        <v>565</v>
      </c>
      <c r="E241" s="8" t="s">
        <v>130</v>
      </c>
      <c r="F241" s="10" t="n">
        <v>8914.3</v>
      </c>
      <c r="G241" s="8" t="s">
        <v>62</v>
      </c>
      <c r="H241" s="8" t="s">
        <v>39</v>
      </c>
      <c r="I241" s="8" t="s">
        <v>40</v>
      </c>
      <c r="J241" s="8"/>
    </row>
    <row r="242" customFormat="false" ht="15" hidden="false" customHeight="false" outlineLevel="0" collapsed="false">
      <c r="A242" s="5" t="s">
        <v>566</v>
      </c>
      <c r="B242" s="6" t="n">
        <v>45803</v>
      </c>
      <c r="C242" s="5" t="s">
        <v>114</v>
      </c>
      <c r="D242" s="5" t="s">
        <v>567</v>
      </c>
      <c r="E242" s="5" t="s">
        <v>116</v>
      </c>
      <c r="F242" s="7" t="n">
        <v>1592.92</v>
      </c>
      <c r="G242" s="5" t="s">
        <v>38</v>
      </c>
      <c r="H242" s="5" t="s">
        <v>79</v>
      </c>
      <c r="I242" s="5" t="s">
        <v>57</v>
      </c>
      <c r="J242" s="5"/>
    </row>
    <row r="243" customFormat="false" ht="15" hidden="false" customHeight="false" outlineLevel="0" collapsed="false">
      <c r="A243" s="8" t="s">
        <v>568</v>
      </c>
      <c r="B243" s="9" t="n">
        <v>45881</v>
      </c>
      <c r="C243" s="8" t="s">
        <v>114</v>
      </c>
      <c r="D243" s="8" t="s">
        <v>569</v>
      </c>
      <c r="E243" s="8" t="s">
        <v>116</v>
      </c>
      <c r="F243" s="10" t="n">
        <v>1737.57</v>
      </c>
      <c r="G243" s="8" t="s">
        <v>38</v>
      </c>
      <c r="H243" s="8" t="s">
        <v>79</v>
      </c>
      <c r="I243" s="8" t="s">
        <v>88</v>
      </c>
      <c r="J243" s="8"/>
    </row>
    <row r="244" customFormat="false" ht="15" hidden="false" customHeight="false" outlineLevel="0" collapsed="false">
      <c r="A244" s="5" t="s">
        <v>570</v>
      </c>
      <c r="B244" s="6" t="n">
        <v>45685</v>
      </c>
      <c r="C244" s="5" t="s">
        <v>120</v>
      </c>
      <c r="D244" s="5" t="s">
        <v>571</v>
      </c>
      <c r="E244" s="5" t="s">
        <v>122</v>
      </c>
      <c r="F244" s="7" t="n">
        <v>7361.56</v>
      </c>
      <c r="G244" s="5" t="s">
        <v>62</v>
      </c>
      <c r="H244" s="5" t="s">
        <v>46</v>
      </c>
      <c r="I244" s="5" t="s">
        <v>57</v>
      </c>
      <c r="J244" s="5"/>
    </row>
    <row r="245" customFormat="false" ht="15" hidden="false" customHeight="false" outlineLevel="0" collapsed="false">
      <c r="A245" s="8" t="s">
        <v>572</v>
      </c>
      <c r="B245" s="9" t="n">
        <v>45772</v>
      </c>
      <c r="C245" s="8" t="s">
        <v>104</v>
      </c>
      <c r="D245" s="8" t="s">
        <v>573</v>
      </c>
      <c r="E245" s="8" t="s">
        <v>106</v>
      </c>
      <c r="F245" s="10" t="n">
        <v>565.2</v>
      </c>
      <c r="G245" s="8" t="s">
        <v>45</v>
      </c>
      <c r="H245" s="8" t="s">
        <v>39</v>
      </c>
      <c r="I245" s="8" t="s">
        <v>88</v>
      </c>
      <c r="J245" s="8"/>
    </row>
    <row r="246" customFormat="false" ht="15" hidden="false" customHeight="false" outlineLevel="0" collapsed="false">
      <c r="A246" s="5" t="s">
        <v>574</v>
      </c>
      <c r="B246" s="6" t="n">
        <v>45677</v>
      </c>
      <c r="C246" s="5" t="s">
        <v>98</v>
      </c>
      <c r="D246" s="5" t="s">
        <v>575</v>
      </c>
      <c r="E246" s="5" t="s">
        <v>100</v>
      </c>
      <c r="F246" s="7" t="n">
        <v>5339.36</v>
      </c>
      <c r="G246" s="5" t="s">
        <v>78</v>
      </c>
      <c r="H246" s="5" t="s">
        <v>39</v>
      </c>
      <c r="I246" s="5" t="s">
        <v>47</v>
      </c>
      <c r="J246" s="5"/>
    </row>
    <row r="247" customFormat="false" ht="15" hidden="false" customHeight="false" outlineLevel="0" collapsed="false">
      <c r="A247" s="8" t="s">
        <v>576</v>
      </c>
      <c r="B247" s="9" t="n">
        <v>45973</v>
      </c>
      <c r="C247" s="8" t="s">
        <v>164</v>
      </c>
      <c r="D247" s="8" t="s">
        <v>577</v>
      </c>
      <c r="E247" s="8" t="s">
        <v>166</v>
      </c>
      <c r="F247" s="10" t="n">
        <v>141.91</v>
      </c>
      <c r="G247" s="8" t="s">
        <v>45</v>
      </c>
      <c r="H247" s="8" t="s">
        <v>46</v>
      </c>
      <c r="I247" s="8" t="s">
        <v>88</v>
      </c>
      <c r="J247" s="8"/>
    </row>
    <row r="248" customFormat="false" ht="15" hidden="false" customHeight="false" outlineLevel="0" collapsed="false">
      <c r="A248" s="5" t="s">
        <v>578</v>
      </c>
      <c r="B248" s="6" t="n">
        <v>45938</v>
      </c>
      <c r="C248" s="5" t="s">
        <v>94</v>
      </c>
      <c r="D248" s="5" t="s">
        <v>579</v>
      </c>
      <c r="E248" s="5" t="s">
        <v>96</v>
      </c>
      <c r="F248" s="7" t="n">
        <v>17396.87</v>
      </c>
      <c r="G248" s="5" t="s">
        <v>78</v>
      </c>
      <c r="H248" s="5" t="s">
        <v>46</v>
      </c>
      <c r="I248" s="5" t="s">
        <v>88</v>
      </c>
      <c r="J248" s="5"/>
    </row>
    <row r="249" customFormat="false" ht="15" hidden="false" customHeight="false" outlineLevel="0" collapsed="false">
      <c r="A249" s="8" t="s">
        <v>580</v>
      </c>
      <c r="B249" s="9" t="n">
        <v>45720</v>
      </c>
      <c r="C249" s="8" t="s">
        <v>49</v>
      </c>
      <c r="D249" s="8" t="s">
        <v>581</v>
      </c>
      <c r="E249" s="8" t="s">
        <v>51</v>
      </c>
      <c r="F249" s="10" t="n">
        <v>926.22</v>
      </c>
      <c r="G249" s="8" t="s">
        <v>78</v>
      </c>
      <c r="H249" s="8" t="s">
        <v>39</v>
      </c>
      <c r="I249" s="8" t="s">
        <v>52</v>
      </c>
      <c r="J249" s="8"/>
    </row>
    <row r="250" customFormat="false" ht="15" hidden="false" customHeight="false" outlineLevel="0" collapsed="false">
      <c r="A250" s="5" t="s">
        <v>582</v>
      </c>
      <c r="B250" s="6" t="n">
        <v>45714</v>
      </c>
      <c r="C250" s="5" t="s">
        <v>228</v>
      </c>
      <c r="D250" s="5" t="s">
        <v>583</v>
      </c>
      <c r="E250" s="5" t="s">
        <v>230</v>
      </c>
      <c r="F250" s="7" t="n">
        <v>15486.07</v>
      </c>
      <c r="G250" s="5" t="s">
        <v>78</v>
      </c>
      <c r="H250" s="5" t="s">
        <v>39</v>
      </c>
      <c r="I250" s="5" t="s">
        <v>52</v>
      </c>
      <c r="J250" s="5"/>
    </row>
    <row r="251" customFormat="false" ht="15" hidden="false" customHeight="false" outlineLevel="0" collapsed="false">
      <c r="A251" s="8" t="s">
        <v>584</v>
      </c>
      <c r="B251" s="9" t="n">
        <v>45921</v>
      </c>
      <c r="C251" s="8" t="s">
        <v>120</v>
      </c>
      <c r="D251" s="8" t="s">
        <v>585</v>
      </c>
      <c r="E251" s="8" t="s">
        <v>122</v>
      </c>
      <c r="F251" s="10" t="n">
        <v>10657.5</v>
      </c>
      <c r="G251" s="8" t="s">
        <v>38</v>
      </c>
      <c r="H251" s="8" t="s">
        <v>79</v>
      </c>
      <c r="I251" s="8" t="s">
        <v>57</v>
      </c>
      <c r="J251" s="8"/>
    </row>
    <row r="252" customFormat="false" ht="15" hidden="false" customHeight="false" outlineLevel="0" collapsed="false">
      <c r="A252" s="5" t="s">
        <v>586</v>
      </c>
      <c r="B252" s="6" t="n">
        <v>45838</v>
      </c>
      <c r="C252" s="5" t="s">
        <v>120</v>
      </c>
      <c r="D252" s="5" t="s">
        <v>587</v>
      </c>
      <c r="E252" s="5" t="s">
        <v>122</v>
      </c>
      <c r="F252" s="7" t="n">
        <v>4484.61</v>
      </c>
      <c r="G252" s="5" t="s">
        <v>78</v>
      </c>
      <c r="H252" s="5" t="s">
        <v>46</v>
      </c>
      <c r="I252" s="5" t="s">
        <v>40</v>
      </c>
      <c r="J252" s="5"/>
    </row>
    <row r="253" customFormat="false" ht="15" hidden="false" customHeight="false" outlineLevel="0" collapsed="false">
      <c r="A253" s="8" t="s">
        <v>588</v>
      </c>
      <c r="B253" s="9" t="n">
        <v>45692</v>
      </c>
      <c r="C253" s="8" t="s">
        <v>114</v>
      </c>
      <c r="D253" s="8" t="s">
        <v>589</v>
      </c>
      <c r="E253" s="8" t="s">
        <v>116</v>
      </c>
      <c r="F253" s="10" t="n">
        <v>17640.06</v>
      </c>
      <c r="G253" s="8" t="s">
        <v>45</v>
      </c>
      <c r="H253" s="8" t="s">
        <v>79</v>
      </c>
      <c r="I253" s="8" t="s">
        <v>57</v>
      </c>
      <c r="J253" s="8"/>
    </row>
    <row r="254" customFormat="false" ht="15" hidden="false" customHeight="false" outlineLevel="0" collapsed="false">
      <c r="A254" s="5" t="s">
        <v>590</v>
      </c>
      <c r="B254" s="6" t="n">
        <v>45856</v>
      </c>
      <c r="C254" s="5" t="s">
        <v>90</v>
      </c>
      <c r="D254" s="5" t="s">
        <v>592</v>
      </c>
      <c r="E254" s="5" t="s">
        <v>92</v>
      </c>
      <c r="F254" s="7" t="n">
        <v>18150.08</v>
      </c>
      <c r="G254" s="5" t="s">
        <v>62</v>
      </c>
      <c r="H254" s="5" t="s">
        <v>39</v>
      </c>
      <c r="I254" s="5" t="s">
        <v>40</v>
      </c>
      <c r="J254" s="5"/>
    </row>
    <row r="255" customFormat="false" ht="15" hidden="false" customHeight="false" outlineLevel="0" collapsed="false">
      <c r="A255" s="8" t="s">
        <v>593</v>
      </c>
      <c r="B255" s="9" t="n">
        <v>45834</v>
      </c>
      <c r="C255" s="8" t="s">
        <v>71</v>
      </c>
      <c r="D255" s="8" t="s">
        <v>594</v>
      </c>
      <c r="E255" s="8" t="s">
        <v>73</v>
      </c>
      <c r="F255" s="10" t="n">
        <v>4494.98</v>
      </c>
      <c r="G255" s="8" t="s">
        <v>45</v>
      </c>
      <c r="H255" s="8" t="s">
        <v>39</v>
      </c>
      <c r="I255" s="8" t="s">
        <v>88</v>
      </c>
      <c r="J255" s="8"/>
    </row>
    <row r="256" customFormat="false" ht="15" hidden="false" customHeight="false" outlineLevel="0" collapsed="false">
      <c r="A256" s="5" t="s">
        <v>595</v>
      </c>
      <c r="B256" s="6" t="n">
        <v>45838</v>
      </c>
      <c r="C256" s="5" t="s">
        <v>98</v>
      </c>
      <c r="D256" s="5" t="s">
        <v>596</v>
      </c>
      <c r="E256" s="5" t="s">
        <v>100</v>
      </c>
      <c r="F256" s="7" t="n">
        <v>10121.68</v>
      </c>
      <c r="G256" s="5" t="s">
        <v>38</v>
      </c>
      <c r="H256" s="5" t="s">
        <v>39</v>
      </c>
      <c r="I256" s="5" t="s">
        <v>57</v>
      </c>
      <c r="J256" s="5"/>
    </row>
    <row r="257" customFormat="false" ht="15" hidden="false" customHeight="false" outlineLevel="0" collapsed="false">
      <c r="A257" s="8" t="s">
        <v>597</v>
      </c>
      <c r="B257" s="9" t="n">
        <v>45751</v>
      </c>
      <c r="C257" s="8" t="s">
        <v>164</v>
      </c>
      <c r="D257" s="8" t="s">
        <v>598</v>
      </c>
      <c r="E257" s="8" t="s">
        <v>166</v>
      </c>
      <c r="F257" s="10" t="n">
        <v>15021.19</v>
      </c>
      <c r="G257" s="8" t="s">
        <v>45</v>
      </c>
      <c r="H257" s="8" t="s">
        <v>39</v>
      </c>
      <c r="I257" s="8" t="s">
        <v>57</v>
      </c>
      <c r="J257" s="8"/>
    </row>
    <row r="258" customFormat="false" ht="15" hidden="false" customHeight="false" outlineLevel="0" collapsed="false">
      <c r="A258" s="5" t="s">
        <v>599</v>
      </c>
      <c r="B258" s="6" t="n">
        <v>45761</v>
      </c>
      <c r="C258" s="5" t="s">
        <v>90</v>
      </c>
      <c r="D258" s="5" t="s">
        <v>600</v>
      </c>
      <c r="E258" s="5" t="s">
        <v>92</v>
      </c>
      <c r="F258" s="7" t="n">
        <v>853.44</v>
      </c>
      <c r="G258" s="5" t="s">
        <v>38</v>
      </c>
      <c r="H258" s="5" t="s">
        <v>46</v>
      </c>
      <c r="I258" s="5" t="s">
        <v>88</v>
      </c>
      <c r="J258" s="5"/>
    </row>
    <row r="259" customFormat="false" ht="15" hidden="false" customHeight="false" outlineLevel="0" collapsed="false">
      <c r="A259" s="8" t="s">
        <v>601</v>
      </c>
      <c r="B259" s="9" t="n">
        <v>45861</v>
      </c>
      <c r="C259" s="8" t="s">
        <v>75</v>
      </c>
      <c r="D259" s="8" t="s">
        <v>602</v>
      </c>
      <c r="E259" s="8" t="s">
        <v>77</v>
      </c>
      <c r="F259" s="10" t="n">
        <v>18299.26</v>
      </c>
      <c r="G259" s="8" t="s">
        <v>78</v>
      </c>
      <c r="H259" s="8" t="s">
        <v>79</v>
      </c>
      <c r="I259" s="8" t="s">
        <v>40</v>
      </c>
      <c r="J259" s="8"/>
    </row>
    <row r="260" customFormat="false" ht="15" hidden="false" customHeight="false" outlineLevel="0" collapsed="false">
      <c r="A260" s="5" t="s">
        <v>603</v>
      </c>
      <c r="B260" s="6" t="n">
        <v>45840</v>
      </c>
      <c r="C260" s="5" t="s">
        <v>94</v>
      </c>
      <c r="D260" s="5" t="s">
        <v>604</v>
      </c>
      <c r="E260" s="5" t="s">
        <v>96</v>
      </c>
      <c r="F260" s="7" t="n">
        <v>15955.77</v>
      </c>
      <c r="G260" s="5" t="s">
        <v>45</v>
      </c>
      <c r="H260" s="5" t="s">
        <v>39</v>
      </c>
      <c r="I260" s="5" t="s">
        <v>88</v>
      </c>
      <c r="J260" s="5"/>
    </row>
    <row r="261" customFormat="false" ht="15" hidden="false" customHeight="false" outlineLevel="0" collapsed="false">
      <c r="A261" s="8" t="s">
        <v>605</v>
      </c>
      <c r="B261" s="9" t="n">
        <v>45846</v>
      </c>
      <c r="C261" s="8" t="s">
        <v>128</v>
      </c>
      <c r="D261" s="8" t="s">
        <v>381</v>
      </c>
      <c r="E261" s="8" t="s">
        <v>130</v>
      </c>
      <c r="F261" s="10" t="n">
        <v>8108.94</v>
      </c>
      <c r="G261" s="8" t="s">
        <v>78</v>
      </c>
      <c r="H261" s="8" t="s">
        <v>39</v>
      </c>
      <c r="I261" s="8" t="s">
        <v>57</v>
      </c>
      <c r="J261" s="8"/>
    </row>
    <row r="262" customFormat="false" ht="15" hidden="false" customHeight="false" outlineLevel="0" collapsed="false">
      <c r="A262" s="5" t="s">
        <v>606</v>
      </c>
      <c r="B262" s="6" t="n">
        <v>45753</v>
      </c>
      <c r="C262" s="5" t="s">
        <v>65</v>
      </c>
      <c r="D262" s="5" t="s">
        <v>607</v>
      </c>
      <c r="E262" s="5" t="s">
        <v>67</v>
      </c>
      <c r="F262" s="7" t="n">
        <v>9202.43</v>
      </c>
      <c r="G262" s="5" t="s">
        <v>78</v>
      </c>
      <c r="H262" s="5" t="s">
        <v>79</v>
      </c>
      <c r="I262" s="5" t="s">
        <v>52</v>
      </c>
      <c r="J262" s="5"/>
    </row>
    <row r="263" customFormat="false" ht="15" hidden="false" customHeight="false" outlineLevel="0" collapsed="false">
      <c r="A263" s="8" t="s">
        <v>608</v>
      </c>
      <c r="B263" s="9" t="n">
        <v>45875</v>
      </c>
      <c r="C263" s="8" t="s">
        <v>128</v>
      </c>
      <c r="D263" s="8" t="s">
        <v>609</v>
      </c>
      <c r="E263" s="8" t="s">
        <v>130</v>
      </c>
      <c r="F263" s="10" t="n">
        <v>1501.6</v>
      </c>
      <c r="G263" s="8" t="s">
        <v>38</v>
      </c>
      <c r="H263" s="8" t="s">
        <v>39</v>
      </c>
      <c r="I263" s="8" t="s">
        <v>88</v>
      </c>
      <c r="J263" s="8"/>
    </row>
    <row r="264" customFormat="false" ht="15" hidden="false" customHeight="false" outlineLevel="0" collapsed="false">
      <c r="A264" s="5" t="s">
        <v>610</v>
      </c>
      <c r="B264" s="6" t="n">
        <v>45698</v>
      </c>
      <c r="C264" s="5" t="s">
        <v>59</v>
      </c>
      <c r="D264" s="5" t="s">
        <v>611</v>
      </c>
      <c r="E264" s="5" t="s">
        <v>61</v>
      </c>
      <c r="F264" s="7" t="n">
        <v>6096.76</v>
      </c>
      <c r="G264" s="5" t="s">
        <v>62</v>
      </c>
      <c r="H264" s="5" t="s">
        <v>79</v>
      </c>
      <c r="I264" s="5" t="s">
        <v>57</v>
      </c>
      <c r="J264" s="5"/>
    </row>
    <row r="265" customFormat="false" ht="15" hidden="false" customHeight="false" outlineLevel="0" collapsed="false">
      <c r="A265" s="8" t="s">
        <v>612</v>
      </c>
      <c r="B265" s="9" t="n">
        <v>45743</v>
      </c>
      <c r="C265" s="8" t="s">
        <v>83</v>
      </c>
      <c r="D265" s="8" t="s">
        <v>613</v>
      </c>
      <c r="E265" s="8" t="s">
        <v>85</v>
      </c>
      <c r="F265" s="10" t="n">
        <v>12774.61</v>
      </c>
      <c r="G265" s="8" t="s">
        <v>62</v>
      </c>
      <c r="H265" s="8" t="s">
        <v>79</v>
      </c>
      <c r="I265" s="8" t="s">
        <v>40</v>
      </c>
      <c r="J265" s="8"/>
    </row>
    <row r="266" customFormat="false" ht="15" hidden="false" customHeight="false" outlineLevel="0" collapsed="false">
      <c r="A266" s="5" t="s">
        <v>614</v>
      </c>
      <c r="B266" s="6" t="n">
        <v>45880</v>
      </c>
      <c r="C266" s="5" t="s">
        <v>71</v>
      </c>
      <c r="D266" s="5" t="s">
        <v>615</v>
      </c>
      <c r="E266" s="5" t="s">
        <v>73</v>
      </c>
      <c r="F266" s="7" t="n">
        <v>5111.92</v>
      </c>
      <c r="G266" s="5" t="s">
        <v>45</v>
      </c>
      <c r="H266" s="5" t="s">
        <v>46</v>
      </c>
      <c r="I266" s="5" t="s">
        <v>57</v>
      </c>
      <c r="J266" s="5"/>
    </row>
    <row r="267" customFormat="false" ht="15" hidden="false" customHeight="false" outlineLevel="0" collapsed="false">
      <c r="A267" s="8" t="s">
        <v>616</v>
      </c>
      <c r="B267" s="9" t="n">
        <v>46005</v>
      </c>
      <c r="C267" s="8" t="s">
        <v>71</v>
      </c>
      <c r="D267" s="8" t="s">
        <v>617</v>
      </c>
      <c r="E267" s="8" t="s">
        <v>73</v>
      </c>
      <c r="F267" s="10" t="n">
        <v>2997.56</v>
      </c>
      <c r="G267" s="8" t="s">
        <v>45</v>
      </c>
      <c r="H267" s="8" t="s">
        <v>46</v>
      </c>
      <c r="I267" s="8" t="s">
        <v>52</v>
      </c>
      <c r="J267" s="8"/>
    </row>
    <row r="268" customFormat="false" ht="15" hidden="false" customHeight="false" outlineLevel="0" collapsed="false">
      <c r="A268" s="5" t="s">
        <v>618</v>
      </c>
      <c r="B268" s="6" t="n">
        <v>45722</v>
      </c>
      <c r="C268" s="5" t="s">
        <v>228</v>
      </c>
      <c r="D268" s="5" t="s">
        <v>619</v>
      </c>
      <c r="E268" s="5" t="s">
        <v>230</v>
      </c>
      <c r="F268" s="7" t="n">
        <v>1285.79</v>
      </c>
      <c r="G268" s="5" t="s">
        <v>62</v>
      </c>
      <c r="H268" s="5" t="s">
        <v>79</v>
      </c>
      <c r="I268" s="5" t="s">
        <v>57</v>
      </c>
      <c r="J268" s="5"/>
    </row>
    <row r="269" customFormat="false" ht="15" hidden="false" customHeight="false" outlineLevel="0" collapsed="false">
      <c r="A269" s="8" t="s">
        <v>620</v>
      </c>
      <c r="B269" s="9" t="n">
        <v>45967</v>
      </c>
      <c r="C269" s="8" t="s">
        <v>160</v>
      </c>
      <c r="D269" s="8" t="s">
        <v>621</v>
      </c>
      <c r="E269" s="8" t="s">
        <v>162</v>
      </c>
      <c r="F269" s="10" t="n">
        <v>2876.7</v>
      </c>
      <c r="G269" s="8" t="s">
        <v>78</v>
      </c>
      <c r="H269" s="8" t="s">
        <v>79</v>
      </c>
      <c r="I269" s="8" t="s">
        <v>88</v>
      </c>
      <c r="J269" s="8"/>
    </row>
    <row r="270" customFormat="false" ht="15" hidden="false" customHeight="false" outlineLevel="0" collapsed="false">
      <c r="A270" s="5" t="s">
        <v>622</v>
      </c>
      <c r="B270" s="6" t="n">
        <v>45951</v>
      </c>
      <c r="C270" s="5" t="s">
        <v>228</v>
      </c>
      <c r="D270" s="5" t="s">
        <v>623</v>
      </c>
      <c r="E270" s="5" t="s">
        <v>230</v>
      </c>
      <c r="F270" s="7" t="n">
        <v>2586.16</v>
      </c>
      <c r="G270" s="5" t="s">
        <v>62</v>
      </c>
      <c r="H270" s="5" t="s">
        <v>79</v>
      </c>
      <c r="I270" s="5" t="s">
        <v>88</v>
      </c>
      <c r="J270" s="5"/>
    </row>
    <row r="271" customFormat="false" ht="15" hidden="false" customHeight="false" outlineLevel="0" collapsed="false">
      <c r="A271" s="8" t="s">
        <v>624</v>
      </c>
      <c r="B271" s="9" t="n">
        <v>45716</v>
      </c>
      <c r="C271" s="8" t="s">
        <v>128</v>
      </c>
      <c r="D271" s="8" t="s">
        <v>625</v>
      </c>
      <c r="E271" s="8" t="s">
        <v>130</v>
      </c>
      <c r="F271" s="10" t="n">
        <v>523.23</v>
      </c>
      <c r="G271" s="8" t="s">
        <v>38</v>
      </c>
      <c r="H271" s="8" t="s">
        <v>79</v>
      </c>
      <c r="I271" s="8" t="s">
        <v>52</v>
      </c>
      <c r="J271" s="8"/>
    </row>
    <row r="272" customFormat="false" ht="15" hidden="false" customHeight="false" outlineLevel="0" collapsed="false">
      <c r="A272" s="5" t="s">
        <v>626</v>
      </c>
      <c r="B272" s="6" t="n">
        <v>45718</v>
      </c>
      <c r="C272" s="5" t="s">
        <v>65</v>
      </c>
      <c r="D272" s="5" t="s">
        <v>627</v>
      </c>
      <c r="E272" s="5" t="s">
        <v>67</v>
      </c>
      <c r="F272" s="7" t="n">
        <v>4876.09</v>
      </c>
      <c r="G272" s="5" t="s">
        <v>62</v>
      </c>
      <c r="H272" s="5" t="s">
        <v>39</v>
      </c>
      <c r="I272" s="5" t="s">
        <v>57</v>
      </c>
      <c r="J272" s="5"/>
    </row>
    <row r="273" customFormat="false" ht="15" hidden="false" customHeight="false" outlineLevel="0" collapsed="false">
      <c r="A273" s="8" t="s">
        <v>628</v>
      </c>
      <c r="B273" s="9" t="n">
        <v>45804</v>
      </c>
      <c r="C273" s="8" t="s">
        <v>94</v>
      </c>
      <c r="D273" s="8" t="s">
        <v>629</v>
      </c>
      <c r="E273" s="8" t="s">
        <v>96</v>
      </c>
      <c r="F273" s="10" t="n">
        <v>12852.41</v>
      </c>
      <c r="G273" s="8" t="s">
        <v>78</v>
      </c>
      <c r="H273" s="8" t="s">
        <v>46</v>
      </c>
      <c r="I273" s="8" t="s">
        <v>40</v>
      </c>
      <c r="J273" s="8"/>
    </row>
    <row r="274" customFormat="false" ht="15" hidden="false" customHeight="false" outlineLevel="0" collapsed="false">
      <c r="A274" s="5" t="s">
        <v>630</v>
      </c>
      <c r="B274" s="6" t="n">
        <v>45889</v>
      </c>
      <c r="C274" s="5" t="s">
        <v>98</v>
      </c>
      <c r="D274" s="5" t="s">
        <v>631</v>
      </c>
      <c r="E274" s="5" t="s">
        <v>100</v>
      </c>
      <c r="F274" s="7" t="n">
        <v>3231.37</v>
      </c>
      <c r="G274" s="5" t="s">
        <v>78</v>
      </c>
      <c r="H274" s="5" t="s">
        <v>46</v>
      </c>
      <c r="I274" s="5" t="s">
        <v>88</v>
      </c>
      <c r="J274" s="5"/>
    </row>
    <row r="275" customFormat="false" ht="15" hidden="false" customHeight="false" outlineLevel="0" collapsed="false">
      <c r="A275" s="8" t="s">
        <v>632</v>
      </c>
      <c r="B275" s="9" t="n">
        <v>45939</v>
      </c>
      <c r="C275" s="8" t="s">
        <v>71</v>
      </c>
      <c r="D275" s="8" t="s">
        <v>633</v>
      </c>
      <c r="E275" s="8" t="s">
        <v>73</v>
      </c>
      <c r="F275" s="10" t="n">
        <v>10050.77</v>
      </c>
      <c r="G275" s="8" t="s">
        <v>62</v>
      </c>
      <c r="H275" s="8" t="s">
        <v>46</v>
      </c>
      <c r="I275" s="8" t="s">
        <v>47</v>
      </c>
      <c r="J275" s="8"/>
    </row>
    <row r="276" customFormat="false" ht="15" hidden="false" customHeight="false" outlineLevel="0" collapsed="false">
      <c r="A276" s="5" t="s">
        <v>634</v>
      </c>
      <c r="B276" s="6" t="n">
        <v>45772</v>
      </c>
      <c r="C276" s="5" t="s">
        <v>71</v>
      </c>
      <c r="D276" s="5" t="s">
        <v>635</v>
      </c>
      <c r="E276" s="5" t="s">
        <v>73</v>
      </c>
      <c r="F276" s="7" t="n">
        <v>2284.74</v>
      </c>
      <c r="G276" s="5" t="s">
        <v>38</v>
      </c>
      <c r="H276" s="5" t="s">
        <v>46</v>
      </c>
      <c r="I276" s="5" t="s">
        <v>47</v>
      </c>
      <c r="J276" s="5"/>
    </row>
    <row r="277" customFormat="false" ht="15" hidden="false" customHeight="false" outlineLevel="0" collapsed="false">
      <c r="A277" s="8" t="s">
        <v>636</v>
      </c>
      <c r="B277" s="9" t="n">
        <v>45842</v>
      </c>
      <c r="C277" s="8" t="s">
        <v>164</v>
      </c>
      <c r="D277" s="8" t="s">
        <v>523</v>
      </c>
      <c r="E277" s="8" t="s">
        <v>166</v>
      </c>
      <c r="F277" s="10" t="n">
        <v>10269.47</v>
      </c>
      <c r="G277" s="8" t="s">
        <v>62</v>
      </c>
      <c r="H277" s="8" t="s">
        <v>79</v>
      </c>
      <c r="I277" s="8" t="s">
        <v>52</v>
      </c>
      <c r="J277" s="8"/>
    </row>
    <row r="278" customFormat="false" ht="15" hidden="false" customHeight="false" outlineLevel="0" collapsed="false">
      <c r="A278" s="5" t="s">
        <v>637</v>
      </c>
      <c r="B278" s="6" t="n">
        <v>45702</v>
      </c>
      <c r="C278" s="5" t="s">
        <v>98</v>
      </c>
      <c r="D278" s="5" t="s">
        <v>638</v>
      </c>
      <c r="E278" s="5" t="s">
        <v>100</v>
      </c>
      <c r="F278" s="7" t="n">
        <v>1258.38</v>
      </c>
      <c r="G278" s="5" t="s">
        <v>78</v>
      </c>
      <c r="H278" s="5" t="s">
        <v>39</v>
      </c>
      <c r="I278" s="5" t="s">
        <v>57</v>
      </c>
      <c r="J278" s="5"/>
    </row>
    <row r="279" customFormat="false" ht="15" hidden="false" customHeight="false" outlineLevel="0" collapsed="false">
      <c r="A279" s="8" t="s">
        <v>639</v>
      </c>
      <c r="B279" s="9" t="n">
        <v>45867</v>
      </c>
      <c r="C279" s="8" t="s">
        <v>114</v>
      </c>
      <c r="D279" s="8" t="s">
        <v>640</v>
      </c>
      <c r="E279" s="8" t="s">
        <v>116</v>
      </c>
      <c r="F279" s="10" t="n">
        <v>15239.73</v>
      </c>
      <c r="G279" s="8" t="s">
        <v>45</v>
      </c>
      <c r="H279" s="8" t="s">
        <v>46</v>
      </c>
      <c r="I279" s="8" t="s">
        <v>88</v>
      </c>
      <c r="J279" s="8"/>
    </row>
    <row r="280" customFormat="false" ht="15" hidden="false" customHeight="false" outlineLevel="0" collapsed="false">
      <c r="A280" s="5" t="s">
        <v>641</v>
      </c>
      <c r="B280" s="6" t="n">
        <v>45896</v>
      </c>
      <c r="C280" s="5" t="s">
        <v>104</v>
      </c>
      <c r="D280" s="5" t="s">
        <v>642</v>
      </c>
      <c r="E280" s="5" t="s">
        <v>106</v>
      </c>
      <c r="F280" s="7" t="n">
        <v>12596.41</v>
      </c>
      <c r="G280" s="5" t="s">
        <v>62</v>
      </c>
      <c r="H280" s="5" t="s">
        <v>46</v>
      </c>
      <c r="I280" s="5" t="s">
        <v>52</v>
      </c>
      <c r="J280" s="5"/>
    </row>
    <row r="281" customFormat="false" ht="15" hidden="false" customHeight="false" outlineLevel="0" collapsed="false">
      <c r="A281" s="8" t="s">
        <v>643</v>
      </c>
      <c r="B281" s="9" t="n">
        <v>45724</v>
      </c>
      <c r="C281" s="8" t="s">
        <v>160</v>
      </c>
      <c r="D281" s="8" t="s">
        <v>644</v>
      </c>
      <c r="E281" s="8" t="s">
        <v>162</v>
      </c>
      <c r="F281" s="10" t="n">
        <v>8028.97</v>
      </c>
      <c r="G281" s="8" t="s">
        <v>45</v>
      </c>
      <c r="H281" s="8" t="s">
        <v>46</v>
      </c>
      <c r="I281" s="8" t="s">
        <v>52</v>
      </c>
      <c r="J281" s="8"/>
    </row>
    <row r="282" customFormat="false" ht="15" hidden="false" customHeight="false" outlineLevel="0" collapsed="false">
      <c r="A282" s="5" t="s">
        <v>645</v>
      </c>
      <c r="B282" s="6" t="n">
        <v>45742</v>
      </c>
      <c r="C282" s="5" t="s">
        <v>98</v>
      </c>
      <c r="D282" s="5" t="s">
        <v>646</v>
      </c>
      <c r="E282" s="5" t="s">
        <v>100</v>
      </c>
      <c r="F282" s="7" t="n">
        <v>3034.1</v>
      </c>
      <c r="G282" s="5" t="s">
        <v>38</v>
      </c>
      <c r="H282" s="5" t="s">
        <v>79</v>
      </c>
      <c r="I282" s="5" t="s">
        <v>52</v>
      </c>
      <c r="J282" s="5"/>
    </row>
    <row r="283" customFormat="false" ht="15" hidden="false" customHeight="false" outlineLevel="0" collapsed="false">
      <c r="A283" s="8" t="s">
        <v>647</v>
      </c>
      <c r="B283" s="9" t="n">
        <v>45786</v>
      </c>
      <c r="C283" s="8" t="s">
        <v>75</v>
      </c>
      <c r="D283" s="8" t="s">
        <v>648</v>
      </c>
      <c r="E283" s="8" t="s">
        <v>77</v>
      </c>
      <c r="F283" s="10" t="n">
        <v>3667.75</v>
      </c>
      <c r="G283" s="8" t="s">
        <v>62</v>
      </c>
      <c r="H283" s="8" t="s">
        <v>46</v>
      </c>
      <c r="I283" s="8" t="s">
        <v>88</v>
      </c>
      <c r="J283" s="8"/>
    </row>
    <row r="284" customFormat="false" ht="15" hidden="false" customHeight="false" outlineLevel="0" collapsed="false">
      <c r="A284" s="5" t="s">
        <v>649</v>
      </c>
      <c r="B284" s="6" t="n">
        <v>45705</v>
      </c>
      <c r="C284" s="5" t="s">
        <v>83</v>
      </c>
      <c r="D284" s="5" t="s">
        <v>650</v>
      </c>
      <c r="E284" s="5" t="s">
        <v>85</v>
      </c>
      <c r="F284" s="7" t="n">
        <v>9319.99</v>
      </c>
      <c r="G284" s="5" t="s">
        <v>38</v>
      </c>
      <c r="H284" s="5" t="s">
        <v>39</v>
      </c>
      <c r="I284" s="5" t="s">
        <v>52</v>
      </c>
      <c r="J284" s="5"/>
    </row>
    <row r="285" customFormat="false" ht="15" hidden="false" customHeight="false" outlineLevel="0" collapsed="false">
      <c r="A285" s="8" t="s">
        <v>651</v>
      </c>
      <c r="B285" s="9" t="n">
        <v>45995</v>
      </c>
      <c r="C285" s="8" t="s">
        <v>98</v>
      </c>
      <c r="D285" s="8" t="s">
        <v>652</v>
      </c>
      <c r="E285" s="8" t="s">
        <v>100</v>
      </c>
      <c r="F285" s="10" t="n">
        <v>11569.76</v>
      </c>
      <c r="G285" s="8" t="s">
        <v>62</v>
      </c>
      <c r="H285" s="8" t="s">
        <v>39</v>
      </c>
      <c r="I285" s="8" t="s">
        <v>40</v>
      </c>
      <c r="J285" s="8"/>
    </row>
    <row r="286" customFormat="false" ht="15" hidden="false" customHeight="false" outlineLevel="0" collapsed="false">
      <c r="A286" s="5" t="s">
        <v>653</v>
      </c>
      <c r="B286" s="6" t="n">
        <v>45681</v>
      </c>
      <c r="C286" s="5" t="s">
        <v>120</v>
      </c>
      <c r="D286" s="5" t="s">
        <v>654</v>
      </c>
      <c r="E286" s="5" t="s">
        <v>122</v>
      </c>
      <c r="F286" s="7" t="n">
        <v>17550.43</v>
      </c>
      <c r="G286" s="5" t="s">
        <v>62</v>
      </c>
      <c r="H286" s="5" t="s">
        <v>39</v>
      </c>
      <c r="I286" s="5" t="s">
        <v>47</v>
      </c>
      <c r="J286" s="5"/>
    </row>
    <row r="287" customFormat="false" ht="15" hidden="false" customHeight="false" outlineLevel="0" collapsed="false">
      <c r="A287" s="8" t="s">
        <v>655</v>
      </c>
      <c r="B287" s="9" t="n">
        <v>45974</v>
      </c>
      <c r="C287" s="8" t="s">
        <v>160</v>
      </c>
      <c r="D287" s="8" t="s">
        <v>656</v>
      </c>
      <c r="E287" s="8" t="s">
        <v>162</v>
      </c>
      <c r="F287" s="10" t="n">
        <v>11837.58</v>
      </c>
      <c r="G287" s="8" t="s">
        <v>78</v>
      </c>
      <c r="H287" s="8" t="s">
        <v>39</v>
      </c>
      <c r="I287" s="8" t="s">
        <v>52</v>
      </c>
      <c r="J287" s="8"/>
    </row>
    <row r="288" customFormat="false" ht="15" hidden="false" customHeight="false" outlineLevel="0" collapsed="false">
      <c r="A288" s="5" t="s">
        <v>657</v>
      </c>
      <c r="B288" s="6" t="n">
        <v>45812</v>
      </c>
      <c r="C288" s="5" t="s">
        <v>75</v>
      </c>
      <c r="D288" s="5" t="s">
        <v>658</v>
      </c>
      <c r="E288" s="5" t="s">
        <v>77</v>
      </c>
      <c r="F288" s="7" t="n">
        <v>8957.75</v>
      </c>
      <c r="G288" s="5" t="s">
        <v>78</v>
      </c>
      <c r="H288" s="5" t="s">
        <v>79</v>
      </c>
      <c r="I288" s="5" t="s">
        <v>57</v>
      </c>
      <c r="J288" s="5"/>
    </row>
    <row r="289" customFormat="false" ht="15" hidden="false" customHeight="false" outlineLevel="0" collapsed="false">
      <c r="A289" s="8" t="s">
        <v>659</v>
      </c>
      <c r="B289" s="9" t="n">
        <v>45738</v>
      </c>
      <c r="C289" s="8" t="s">
        <v>104</v>
      </c>
      <c r="D289" s="8" t="s">
        <v>660</v>
      </c>
      <c r="E289" s="8" t="s">
        <v>106</v>
      </c>
      <c r="F289" s="10" t="n">
        <v>8157.92</v>
      </c>
      <c r="G289" s="8" t="s">
        <v>78</v>
      </c>
      <c r="H289" s="8" t="s">
        <v>79</v>
      </c>
      <c r="I289" s="8" t="s">
        <v>47</v>
      </c>
      <c r="J289" s="8"/>
    </row>
    <row r="290" customFormat="false" ht="15" hidden="false" customHeight="false" outlineLevel="0" collapsed="false">
      <c r="A290" s="5" t="s">
        <v>661</v>
      </c>
      <c r="B290" s="6" t="n">
        <v>45731</v>
      </c>
      <c r="C290" s="5" t="s">
        <v>59</v>
      </c>
      <c r="D290" s="5" t="s">
        <v>662</v>
      </c>
      <c r="E290" s="5" t="s">
        <v>61</v>
      </c>
      <c r="F290" s="7" t="n">
        <v>5813.71</v>
      </c>
      <c r="G290" s="5" t="s">
        <v>62</v>
      </c>
      <c r="H290" s="5" t="s">
        <v>39</v>
      </c>
      <c r="I290" s="5" t="s">
        <v>88</v>
      </c>
      <c r="J290" s="5"/>
    </row>
    <row r="291" customFormat="false" ht="15" hidden="false" customHeight="false" outlineLevel="0" collapsed="false">
      <c r="A291" s="8" t="s">
        <v>663</v>
      </c>
      <c r="B291" s="9" t="n">
        <v>45847</v>
      </c>
      <c r="C291" s="8" t="s">
        <v>65</v>
      </c>
      <c r="D291" s="8" t="s">
        <v>664</v>
      </c>
      <c r="E291" s="8" t="s">
        <v>67</v>
      </c>
      <c r="F291" s="10" t="n">
        <v>9548.96</v>
      </c>
      <c r="G291" s="8" t="s">
        <v>45</v>
      </c>
      <c r="H291" s="8" t="s">
        <v>79</v>
      </c>
      <c r="I291" s="8" t="s">
        <v>47</v>
      </c>
      <c r="J291" s="8"/>
    </row>
    <row r="292" customFormat="false" ht="15" hidden="false" customHeight="false" outlineLevel="0" collapsed="false">
      <c r="A292" s="5" t="s">
        <v>665</v>
      </c>
      <c r="B292" s="6" t="n">
        <v>45794</v>
      </c>
      <c r="C292" s="5" t="s">
        <v>228</v>
      </c>
      <c r="D292" s="5" t="s">
        <v>666</v>
      </c>
      <c r="E292" s="5" t="s">
        <v>230</v>
      </c>
      <c r="F292" s="7" t="n">
        <v>8342.29</v>
      </c>
      <c r="G292" s="5" t="s">
        <v>38</v>
      </c>
      <c r="H292" s="5" t="s">
        <v>46</v>
      </c>
      <c r="I292" s="5" t="s">
        <v>40</v>
      </c>
      <c r="J292" s="5"/>
    </row>
    <row r="293" customFormat="false" ht="15" hidden="false" customHeight="false" outlineLevel="0" collapsed="false">
      <c r="A293" s="8" t="s">
        <v>667</v>
      </c>
      <c r="B293" s="9" t="n">
        <v>45973</v>
      </c>
      <c r="C293" s="8" t="s">
        <v>75</v>
      </c>
      <c r="D293" s="8" t="s">
        <v>668</v>
      </c>
      <c r="E293" s="8" t="s">
        <v>77</v>
      </c>
      <c r="F293" s="10" t="n">
        <v>7761.68</v>
      </c>
      <c r="G293" s="8" t="s">
        <v>38</v>
      </c>
      <c r="H293" s="8" t="s">
        <v>79</v>
      </c>
      <c r="I293" s="8" t="s">
        <v>52</v>
      </c>
      <c r="J293" s="8"/>
    </row>
    <row r="294" customFormat="false" ht="15" hidden="false" customHeight="false" outlineLevel="0" collapsed="false">
      <c r="A294" s="5" t="s">
        <v>669</v>
      </c>
      <c r="B294" s="6" t="n">
        <v>45739</v>
      </c>
      <c r="C294" s="5" t="s">
        <v>59</v>
      </c>
      <c r="D294" s="5" t="s">
        <v>670</v>
      </c>
      <c r="E294" s="5" t="s">
        <v>61</v>
      </c>
      <c r="F294" s="7" t="n">
        <v>9240.49</v>
      </c>
      <c r="G294" s="5" t="s">
        <v>78</v>
      </c>
      <c r="H294" s="5" t="s">
        <v>79</v>
      </c>
      <c r="I294" s="5" t="s">
        <v>88</v>
      </c>
      <c r="J294" s="5"/>
    </row>
    <row r="295" customFormat="false" ht="15" hidden="false" customHeight="false" outlineLevel="0" collapsed="false">
      <c r="A295" s="8" t="s">
        <v>671</v>
      </c>
      <c r="B295" s="9" t="n">
        <v>45704</v>
      </c>
      <c r="C295" s="8" t="s">
        <v>164</v>
      </c>
      <c r="D295" s="8" t="s">
        <v>672</v>
      </c>
      <c r="E295" s="8" t="s">
        <v>166</v>
      </c>
      <c r="F295" s="10" t="n">
        <v>17489.27</v>
      </c>
      <c r="G295" s="8" t="s">
        <v>78</v>
      </c>
      <c r="H295" s="8" t="s">
        <v>46</v>
      </c>
      <c r="I295" s="8" t="s">
        <v>47</v>
      </c>
      <c r="J295" s="8"/>
    </row>
    <row r="296" customFormat="false" ht="15" hidden="false" customHeight="false" outlineLevel="0" collapsed="false">
      <c r="A296" s="5" t="s">
        <v>673</v>
      </c>
      <c r="B296" s="6" t="n">
        <v>45682</v>
      </c>
      <c r="C296" s="5" t="s">
        <v>160</v>
      </c>
      <c r="D296" s="5" t="s">
        <v>140</v>
      </c>
      <c r="E296" s="5" t="s">
        <v>162</v>
      </c>
      <c r="F296" s="7" t="n">
        <v>977.72</v>
      </c>
      <c r="G296" s="5" t="s">
        <v>78</v>
      </c>
      <c r="H296" s="5" t="s">
        <v>39</v>
      </c>
      <c r="I296" s="5" t="s">
        <v>57</v>
      </c>
      <c r="J296" s="5"/>
    </row>
    <row r="297" customFormat="false" ht="15" hidden="false" customHeight="false" outlineLevel="0" collapsed="false">
      <c r="A297" s="8" t="s">
        <v>674</v>
      </c>
      <c r="B297" s="9" t="n">
        <v>45662</v>
      </c>
      <c r="C297" s="8" t="s">
        <v>75</v>
      </c>
      <c r="D297" s="8" t="s">
        <v>675</v>
      </c>
      <c r="E297" s="8" t="s">
        <v>77</v>
      </c>
      <c r="F297" s="10" t="n">
        <v>15679.57</v>
      </c>
      <c r="G297" s="8" t="s">
        <v>78</v>
      </c>
      <c r="H297" s="8" t="s">
        <v>46</v>
      </c>
      <c r="I297" s="8" t="s">
        <v>88</v>
      </c>
      <c r="J297" s="8"/>
    </row>
    <row r="298" customFormat="false" ht="15" hidden="false" customHeight="false" outlineLevel="0" collapsed="false">
      <c r="A298" s="5" t="s">
        <v>676</v>
      </c>
      <c r="B298" s="6" t="n">
        <v>45845</v>
      </c>
      <c r="C298" s="5" t="s">
        <v>71</v>
      </c>
      <c r="D298" s="5" t="s">
        <v>677</v>
      </c>
      <c r="E298" s="5" t="s">
        <v>73</v>
      </c>
      <c r="F298" s="7" t="n">
        <v>879.95</v>
      </c>
      <c r="G298" s="5" t="s">
        <v>45</v>
      </c>
      <c r="H298" s="5" t="s">
        <v>39</v>
      </c>
      <c r="I298" s="5" t="s">
        <v>52</v>
      </c>
      <c r="J298" s="5"/>
    </row>
    <row r="299" customFormat="false" ht="15" hidden="false" customHeight="false" outlineLevel="0" collapsed="false">
      <c r="A299" s="8" t="s">
        <v>678</v>
      </c>
      <c r="B299" s="9" t="n">
        <v>45941</v>
      </c>
      <c r="C299" s="8" t="s">
        <v>94</v>
      </c>
      <c r="D299" s="8" t="s">
        <v>679</v>
      </c>
      <c r="E299" s="8" t="s">
        <v>96</v>
      </c>
      <c r="F299" s="10" t="n">
        <v>5371.14</v>
      </c>
      <c r="G299" s="8" t="s">
        <v>78</v>
      </c>
      <c r="H299" s="8" t="s">
        <v>39</v>
      </c>
      <c r="I299" s="8" t="s">
        <v>57</v>
      </c>
      <c r="J299" s="8"/>
    </row>
    <row r="300" customFormat="false" ht="15" hidden="false" customHeight="false" outlineLevel="0" collapsed="false">
      <c r="A300" s="5" t="s">
        <v>680</v>
      </c>
      <c r="B300" s="6" t="n">
        <v>45977</v>
      </c>
      <c r="C300" s="5" t="s">
        <v>42</v>
      </c>
      <c r="D300" s="5" t="s">
        <v>681</v>
      </c>
      <c r="E300" s="5" t="s">
        <v>44</v>
      </c>
      <c r="F300" s="7" t="n">
        <v>12601.76</v>
      </c>
      <c r="G300" s="5" t="s">
        <v>45</v>
      </c>
      <c r="H300" s="5" t="s">
        <v>46</v>
      </c>
      <c r="I300" s="5" t="s">
        <v>40</v>
      </c>
      <c r="J300" s="5"/>
    </row>
    <row r="301" customFormat="false" ht="15" hidden="false" customHeight="false" outlineLevel="0" collapsed="false">
      <c r="A301" s="8" t="s">
        <v>682</v>
      </c>
      <c r="B301" s="9" t="n">
        <v>45831</v>
      </c>
      <c r="C301" s="8" t="s">
        <v>65</v>
      </c>
      <c r="D301" s="8" t="s">
        <v>683</v>
      </c>
      <c r="E301" s="8" t="s">
        <v>67</v>
      </c>
      <c r="F301" s="10" t="n">
        <v>10339.79</v>
      </c>
      <c r="G301" s="8" t="s">
        <v>62</v>
      </c>
      <c r="H301" s="8" t="s">
        <v>46</v>
      </c>
      <c r="I301" s="8" t="s">
        <v>47</v>
      </c>
      <c r="J301" s="8"/>
    </row>
    <row r="302" customFormat="false" ht="15" hidden="false" customHeight="false" outlineLevel="0" collapsed="false">
      <c r="A302" s="5" t="s">
        <v>684</v>
      </c>
      <c r="B302" s="6" t="n">
        <v>45863</v>
      </c>
      <c r="C302" s="5" t="s">
        <v>83</v>
      </c>
      <c r="D302" s="5" t="s">
        <v>685</v>
      </c>
      <c r="E302" s="5" t="s">
        <v>85</v>
      </c>
      <c r="F302" s="7" t="n">
        <v>9273.94</v>
      </c>
      <c r="G302" s="5" t="s">
        <v>45</v>
      </c>
      <c r="H302" s="5" t="s">
        <v>46</v>
      </c>
      <c r="I302" s="5" t="s">
        <v>47</v>
      </c>
      <c r="J302" s="5"/>
    </row>
    <row r="303" customFormat="false" ht="15" hidden="false" customHeight="false" outlineLevel="0" collapsed="false">
      <c r="A303" s="8" t="s">
        <v>686</v>
      </c>
      <c r="B303" s="9" t="n">
        <v>45923</v>
      </c>
      <c r="C303" s="8" t="s">
        <v>59</v>
      </c>
      <c r="D303" s="8" t="s">
        <v>687</v>
      </c>
      <c r="E303" s="8" t="s">
        <v>61</v>
      </c>
      <c r="F303" s="10" t="n">
        <v>8478.72</v>
      </c>
      <c r="G303" s="8" t="s">
        <v>38</v>
      </c>
      <c r="H303" s="8" t="s">
        <v>79</v>
      </c>
      <c r="I303" s="8" t="s">
        <v>52</v>
      </c>
      <c r="J303" s="8"/>
    </row>
    <row r="304" customFormat="false" ht="15" hidden="false" customHeight="false" outlineLevel="0" collapsed="false">
      <c r="A304" s="5" t="s">
        <v>688</v>
      </c>
      <c r="B304" s="6" t="n">
        <v>45973</v>
      </c>
      <c r="C304" s="5" t="s">
        <v>59</v>
      </c>
      <c r="D304" s="5" t="s">
        <v>689</v>
      </c>
      <c r="E304" s="5" t="s">
        <v>61</v>
      </c>
      <c r="F304" s="7" t="n">
        <v>13689.14</v>
      </c>
      <c r="G304" s="5" t="s">
        <v>62</v>
      </c>
      <c r="H304" s="5" t="s">
        <v>39</v>
      </c>
      <c r="I304" s="5" t="s">
        <v>88</v>
      </c>
      <c r="J304" s="5"/>
    </row>
    <row r="305" customFormat="false" ht="15" hidden="false" customHeight="false" outlineLevel="0" collapsed="false">
      <c r="A305" s="8" t="s">
        <v>690</v>
      </c>
      <c r="B305" s="9" t="n">
        <v>45930</v>
      </c>
      <c r="C305" s="8" t="s">
        <v>114</v>
      </c>
      <c r="D305" s="8" t="s">
        <v>691</v>
      </c>
      <c r="E305" s="8" t="s">
        <v>116</v>
      </c>
      <c r="F305" s="10" t="n">
        <v>9085.12</v>
      </c>
      <c r="G305" s="8" t="s">
        <v>62</v>
      </c>
      <c r="H305" s="8" t="s">
        <v>79</v>
      </c>
      <c r="I305" s="8" t="s">
        <v>40</v>
      </c>
      <c r="J305" s="8"/>
    </row>
    <row r="306" customFormat="false" ht="15" hidden="false" customHeight="false" outlineLevel="0" collapsed="false">
      <c r="A306" s="5" t="s">
        <v>692</v>
      </c>
      <c r="B306" s="6" t="n">
        <v>46002</v>
      </c>
      <c r="C306" s="5" t="s">
        <v>71</v>
      </c>
      <c r="D306" s="5" t="s">
        <v>693</v>
      </c>
      <c r="E306" s="5" t="s">
        <v>73</v>
      </c>
      <c r="F306" s="7" t="n">
        <v>2067.75</v>
      </c>
      <c r="G306" s="5" t="s">
        <v>78</v>
      </c>
      <c r="H306" s="5" t="s">
        <v>39</v>
      </c>
      <c r="I306" s="5" t="s">
        <v>88</v>
      </c>
      <c r="J306" s="5"/>
    </row>
    <row r="307" customFormat="false" ht="15" hidden="false" customHeight="false" outlineLevel="0" collapsed="false">
      <c r="A307" s="8" t="s">
        <v>694</v>
      </c>
      <c r="B307" s="9" t="n">
        <v>45900</v>
      </c>
      <c r="C307" s="8" t="s">
        <v>120</v>
      </c>
      <c r="D307" s="8" t="s">
        <v>695</v>
      </c>
      <c r="E307" s="8" t="s">
        <v>122</v>
      </c>
      <c r="F307" s="10" t="n">
        <v>4945.36</v>
      </c>
      <c r="G307" s="8" t="s">
        <v>38</v>
      </c>
      <c r="H307" s="8" t="s">
        <v>39</v>
      </c>
      <c r="I307" s="8" t="s">
        <v>40</v>
      </c>
      <c r="J307" s="8"/>
    </row>
    <row r="308" customFormat="false" ht="15" hidden="false" customHeight="false" outlineLevel="0" collapsed="false">
      <c r="A308" s="5" t="s">
        <v>696</v>
      </c>
      <c r="B308" s="6" t="n">
        <v>45745</v>
      </c>
      <c r="C308" s="5" t="s">
        <v>160</v>
      </c>
      <c r="D308" s="5" t="s">
        <v>697</v>
      </c>
      <c r="E308" s="5" t="s">
        <v>162</v>
      </c>
      <c r="F308" s="7" t="n">
        <v>9719.71</v>
      </c>
      <c r="G308" s="5" t="s">
        <v>78</v>
      </c>
      <c r="H308" s="5" t="s">
        <v>46</v>
      </c>
      <c r="I308" s="5" t="s">
        <v>47</v>
      </c>
      <c r="J308" s="5"/>
    </row>
    <row r="309" customFormat="false" ht="15" hidden="false" customHeight="false" outlineLevel="0" collapsed="false">
      <c r="A309" s="8" t="s">
        <v>698</v>
      </c>
      <c r="B309" s="9" t="n">
        <v>46016</v>
      </c>
      <c r="C309" s="8" t="s">
        <v>90</v>
      </c>
      <c r="D309" s="8" t="s">
        <v>699</v>
      </c>
      <c r="E309" s="8" t="s">
        <v>92</v>
      </c>
      <c r="F309" s="10" t="n">
        <v>2073.12</v>
      </c>
      <c r="G309" s="8" t="s">
        <v>45</v>
      </c>
      <c r="H309" s="8" t="s">
        <v>79</v>
      </c>
      <c r="I309" s="8" t="s">
        <v>88</v>
      </c>
      <c r="J309" s="8"/>
    </row>
    <row r="310" customFormat="false" ht="15" hidden="false" customHeight="false" outlineLevel="0" collapsed="false">
      <c r="A310" s="5" t="s">
        <v>700</v>
      </c>
      <c r="B310" s="6" t="n">
        <v>45869</v>
      </c>
      <c r="C310" s="5" t="s">
        <v>54</v>
      </c>
      <c r="D310" s="5" t="s">
        <v>701</v>
      </c>
      <c r="E310" s="5" t="s">
        <v>56</v>
      </c>
      <c r="F310" s="7" t="n">
        <v>12788.18</v>
      </c>
      <c r="G310" s="5" t="s">
        <v>78</v>
      </c>
      <c r="H310" s="5" t="s">
        <v>39</v>
      </c>
      <c r="I310" s="5" t="s">
        <v>52</v>
      </c>
      <c r="J310" s="5"/>
    </row>
    <row r="311" customFormat="false" ht="15" hidden="false" customHeight="false" outlineLevel="0" collapsed="false">
      <c r="A311" s="8" t="s">
        <v>702</v>
      </c>
      <c r="B311" s="9" t="n">
        <v>46019</v>
      </c>
      <c r="C311" s="8" t="s">
        <v>164</v>
      </c>
      <c r="D311" s="8" t="s">
        <v>703</v>
      </c>
      <c r="E311" s="8" t="s">
        <v>166</v>
      </c>
      <c r="F311" s="10" t="n">
        <v>2593.31</v>
      </c>
      <c r="G311" s="8" t="s">
        <v>38</v>
      </c>
      <c r="H311" s="8" t="s">
        <v>39</v>
      </c>
      <c r="I311" s="8" t="s">
        <v>88</v>
      </c>
      <c r="J311" s="8"/>
    </row>
    <row r="312" customFormat="false" ht="15" hidden="false" customHeight="false" outlineLevel="0" collapsed="false">
      <c r="A312" s="5" t="s">
        <v>704</v>
      </c>
      <c r="B312" s="6" t="n">
        <v>45850</v>
      </c>
      <c r="C312" s="5" t="s">
        <v>164</v>
      </c>
      <c r="D312" s="5" t="s">
        <v>705</v>
      </c>
      <c r="E312" s="5" t="s">
        <v>166</v>
      </c>
      <c r="F312" s="7" t="n">
        <v>5835.3</v>
      </c>
      <c r="G312" s="5" t="s">
        <v>38</v>
      </c>
      <c r="H312" s="5" t="s">
        <v>79</v>
      </c>
      <c r="I312" s="5" t="s">
        <v>52</v>
      </c>
      <c r="J312" s="5"/>
    </row>
    <row r="313" customFormat="false" ht="15" hidden="false" customHeight="false" outlineLevel="0" collapsed="false">
      <c r="A313" s="8" t="s">
        <v>706</v>
      </c>
      <c r="B313" s="9" t="n">
        <v>45839</v>
      </c>
      <c r="C313" s="8" t="s">
        <v>59</v>
      </c>
      <c r="D313" s="8" t="s">
        <v>707</v>
      </c>
      <c r="E313" s="8" t="s">
        <v>61</v>
      </c>
      <c r="F313" s="10" t="n">
        <v>12518.15</v>
      </c>
      <c r="G313" s="8" t="s">
        <v>62</v>
      </c>
      <c r="H313" s="8" t="s">
        <v>39</v>
      </c>
      <c r="I313" s="8" t="s">
        <v>57</v>
      </c>
      <c r="J313" s="8"/>
    </row>
    <row r="314" customFormat="false" ht="15" hidden="false" customHeight="false" outlineLevel="0" collapsed="false">
      <c r="A314" s="5" t="s">
        <v>708</v>
      </c>
      <c r="B314" s="6" t="n">
        <v>45800</v>
      </c>
      <c r="C314" s="5" t="s">
        <v>94</v>
      </c>
      <c r="D314" s="5" t="s">
        <v>709</v>
      </c>
      <c r="E314" s="5" t="s">
        <v>96</v>
      </c>
      <c r="F314" s="7" t="n">
        <v>10344.49</v>
      </c>
      <c r="G314" s="5" t="s">
        <v>38</v>
      </c>
      <c r="H314" s="5" t="s">
        <v>79</v>
      </c>
      <c r="I314" s="5" t="s">
        <v>88</v>
      </c>
      <c r="J314" s="5"/>
    </row>
    <row r="315" customFormat="false" ht="15" hidden="false" customHeight="false" outlineLevel="0" collapsed="false">
      <c r="A315" s="8" t="s">
        <v>710</v>
      </c>
      <c r="B315" s="9" t="n">
        <v>45820</v>
      </c>
      <c r="C315" s="8" t="s">
        <v>94</v>
      </c>
      <c r="D315" s="8" t="s">
        <v>711</v>
      </c>
      <c r="E315" s="8" t="s">
        <v>96</v>
      </c>
      <c r="F315" s="10" t="n">
        <v>8899.77</v>
      </c>
      <c r="G315" s="8" t="s">
        <v>62</v>
      </c>
      <c r="H315" s="8" t="s">
        <v>79</v>
      </c>
      <c r="I315" s="8" t="s">
        <v>40</v>
      </c>
      <c r="J315" s="8"/>
    </row>
    <row r="316" customFormat="false" ht="15" hidden="false" customHeight="false" outlineLevel="0" collapsed="false">
      <c r="A316" s="5" t="s">
        <v>712</v>
      </c>
      <c r="B316" s="6" t="n">
        <v>45936</v>
      </c>
      <c r="C316" s="5" t="s">
        <v>160</v>
      </c>
      <c r="D316" s="5" t="s">
        <v>713</v>
      </c>
      <c r="E316" s="5" t="s">
        <v>162</v>
      </c>
      <c r="F316" s="7" t="n">
        <v>7052.26</v>
      </c>
      <c r="G316" s="5" t="s">
        <v>78</v>
      </c>
      <c r="H316" s="5" t="s">
        <v>79</v>
      </c>
      <c r="I316" s="5" t="s">
        <v>47</v>
      </c>
      <c r="J316" s="5"/>
    </row>
    <row r="317" customFormat="false" ht="15" hidden="false" customHeight="false" outlineLevel="0" collapsed="false">
      <c r="A317" s="8" t="s">
        <v>714</v>
      </c>
      <c r="B317" s="9" t="n">
        <v>45805</v>
      </c>
      <c r="C317" s="8" t="s">
        <v>75</v>
      </c>
      <c r="D317" s="8" t="s">
        <v>715</v>
      </c>
      <c r="E317" s="8" t="s">
        <v>77</v>
      </c>
      <c r="F317" s="10" t="n">
        <v>17675.31</v>
      </c>
      <c r="G317" s="8" t="s">
        <v>45</v>
      </c>
      <c r="H317" s="8" t="s">
        <v>79</v>
      </c>
      <c r="I317" s="8" t="s">
        <v>57</v>
      </c>
      <c r="J317" s="8"/>
    </row>
    <row r="318" customFormat="false" ht="15" hidden="false" customHeight="false" outlineLevel="0" collapsed="false">
      <c r="A318" s="5" t="s">
        <v>716</v>
      </c>
      <c r="B318" s="6" t="n">
        <v>45767</v>
      </c>
      <c r="C318" s="5" t="s">
        <v>128</v>
      </c>
      <c r="D318" s="5" t="s">
        <v>717</v>
      </c>
      <c r="E318" s="5" t="s">
        <v>130</v>
      </c>
      <c r="F318" s="7" t="n">
        <v>3774.17</v>
      </c>
      <c r="G318" s="5" t="s">
        <v>62</v>
      </c>
      <c r="H318" s="5" t="s">
        <v>39</v>
      </c>
      <c r="I318" s="5" t="s">
        <v>88</v>
      </c>
      <c r="J318" s="5"/>
    </row>
    <row r="319" customFormat="false" ht="15" hidden="false" customHeight="false" outlineLevel="0" collapsed="false">
      <c r="A319" s="8" t="s">
        <v>718</v>
      </c>
      <c r="B319" s="9" t="n">
        <v>45973</v>
      </c>
      <c r="C319" s="8" t="s">
        <v>98</v>
      </c>
      <c r="D319" s="8" t="s">
        <v>719</v>
      </c>
      <c r="E319" s="8" t="s">
        <v>100</v>
      </c>
      <c r="F319" s="10" t="n">
        <v>13718.14</v>
      </c>
      <c r="G319" s="8" t="s">
        <v>38</v>
      </c>
      <c r="H319" s="8" t="s">
        <v>46</v>
      </c>
      <c r="I319" s="8" t="s">
        <v>40</v>
      </c>
      <c r="J319" s="8"/>
    </row>
    <row r="320" customFormat="false" ht="15" hidden="false" customHeight="false" outlineLevel="0" collapsed="false">
      <c r="A320" s="5" t="s">
        <v>720</v>
      </c>
      <c r="B320" s="6" t="n">
        <v>45984</v>
      </c>
      <c r="C320" s="5" t="s">
        <v>114</v>
      </c>
      <c r="D320" s="5" t="s">
        <v>721</v>
      </c>
      <c r="E320" s="5" t="s">
        <v>116</v>
      </c>
      <c r="F320" s="7" t="n">
        <v>4342</v>
      </c>
      <c r="G320" s="5" t="s">
        <v>45</v>
      </c>
      <c r="H320" s="5" t="s">
        <v>79</v>
      </c>
      <c r="I320" s="5" t="s">
        <v>88</v>
      </c>
      <c r="J320" s="5"/>
    </row>
    <row r="321" customFormat="false" ht="15" hidden="false" customHeight="false" outlineLevel="0" collapsed="false">
      <c r="A321" s="8" t="s">
        <v>722</v>
      </c>
      <c r="B321" s="9" t="n">
        <v>46006</v>
      </c>
      <c r="C321" s="8" t="s">
        <v>164</v>
      </c>
      <c r="D321" s="8" t="s">
        <v>723</v>
      </c>
      <c r="E321" s="8" t="s">
        <v>166</v>
      </c>
      <c r="F321" s="10" t="n">
        <v>14269.49</v>
      </c>
      <c r="G321" s="8" t="s">
        <v>45</v>
      </c>
      <c r="H321" s="8" t="s">
        <v>39</v>
      </c>
      <c r="I321" s="8" t="s">
        <v>47</v>
      </c>
      <c r="J321" s="8"/>
    </row>
    <row r="323" customFormat="false" ht="15" hidden="false" customHeight="false" outlineLevel="0" collapsed="false">
      <c r="E323" s="11" t="s">
        <v>730</v>
      </c>
      <c r="F323" s="12" t="n">
        <f aca="false">SUM(F2:F321)</f>
        <v>2988940.17</v>
      </c>
    </row>
  </sheetData>
  <autoFilter ref="A1:J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4"/>
  </cols>
  <sheetData>
    <row r="1" customFormat="false" ht="30" hidden="false" customHeight="true" outlineLevel="0" collapsed="false">
      <c r="A1" s="4" t="s">
        <v>731</v>
      </c>
      <c r="B1" s="4" t="s">
        <v>21</v>
      </c>
      <c r="C1" s="4" t="s">
        <v>732</v>
      </c>
      <c r="D1" s="4" t="s">
        <v>733</v>
      </c>
      <c r="E1" s="4" t="s">
        <v>734</v>
      </c>
    </row>
    <row r="2" customFormat="false" ht="15" hidden="false" customHeight="false" outlineLevel="0" collapsed="false">
      <c r="A2" s="5" t="n">
        <v>1</v>
      </c>
      <c r="B2" s="5" t="s">
        <v>58</v>
      </c>
      <c r="C2" s="5" t="s">
        <v>28</v>
      </c>
      <c r="D2" s="5" t="s">
        <v>735</v>
      </c>
      <c r="E2" s="5" t="s">
        <v>46</v>
      </c>
    </row>
    <row r="3" customFormat="false" ht="15" hidden="false" customHeight="false" outlineLevel="0" collapsed="false">
      <c r="A3" s="8" t="n">
        <v>2</v>
      </c>
      <c r="B3" s="8" t="s">
        <v>109</v>
      </c>
      <c r="C3" s="8" t="s">
        <v>29</v>
      </c>
      <c r="D3" s="8" t="s">
        <v>736</v>
      </c>
      <c r="E3" s="8" t="s">
        <v>88</v>
      </c>
    </row>
    <row r="4" customFormat="false" ht="15" hidden="false" customHeight="false" outlineLevel="0" collapsed="false">
      <c r="A4" s="5" t="n">
        <v>3</v>
      </c>
      <c r="B4" s="5" t="s">
        <v>111</v>
      </c>
      <c r="C4" s="5" t="s">
        <v>25</v>
      </c>
      <c r="D4" s="5" t="s">
        <v>736</v>
      </c>
      <c r="E4" s="5" t="s">
        <v>37</v>
      </c>
    </row>
    <row r="5" customFormat="false" ht="15" hidden="false" customHeight="false" outlineLevel="0" collapsed="false">
      <c r="A5" s="8" t="n">
        <v>4</v>
      </c>
      <c r="B5" s="8" t="s">
        <v>139</v>
      </c>
      <c r="C5" s="8" t="s">
        <v>24</v>
      </c>
      <c r="D5" s="8" t="s">
        <v>737</v>
      </c>
      <c r="E5" s="8" t="s">
        <v>725</v>
      </c>
    </row>
    <row r="6" customFormat="false" ht="15" hidden="false" customHeight="false" outlineLevel="0" collapsed="false">
      <c r="A6" s="5" t="n">
        <v>5</v>
      </c>
      <c r="B6" s="5" t="s">
        <v>199</v>
      </c>
      <c r="C6" s="5" t="s">
        <v>24</v>
      </c>
      <c r="D6" s="5" t="s">
        <v>737</v>
      </c>
      <c r="E6" s="5" t="s">
        <v>726</v>
      </c>
    </row>
    <row r="7" customFormat="false" ht="15" hidden="false" customHeight="false" outlineLevel="0" collapsed="false">
      <c r="A7" s="8" t="n">
        <v>6</v>
      </c>
      <c r="B7" s="8" t="s">
        <v>221</v>
      </c>
      <c r="C7" s="8" t="s">
        <v>24</v>
      </c>
      <c r="D7" s="8" t="s">
        <v>737</v>
      </c>
      <c r="E7" s="8" t="s">
        <v>727</v>
      </c>
    </row>
    <row r="8" customFormat="false" ht="15" hidden="false" customHeight="false" outlineLevel="0" collapsed="false">
      <c r="A8" s="5" t="n">
        <v>7</v>
      </c>
      <c r="B8" s="5" t="s">
        <v>252</v>
      </c>
      <c r="C8" s="5" t="s">
        <v>27</v>
      </c>
      <c r="D8" s="5" t="s">
        <v>736</v>
      </c>
      <c r="E8" s="5" t="s">
        <v>78</v>
      </c>
    </row>
    <row r="9" customFormat="false" ht="15" hidden="false" customHeight="false" outlineLevel="0" collapsed="false">
      <c r="A9" s="8" t="n">
        <v>8</v>
      </c>
      <c r="B9" s="8" t="s">
        <v>264</v>
      </c>
      <c r="C9" s="8" t="s">
        <v>23</v>
      </c>
      <c r="D9" s="8" t="s">
        <v>736</v>
      </c>
      <c r="E9" s="8" t="s">
        <v>148</v>
      </c>
    </row>
    <row r="10" customFormat="false" ht="15" hidden="false" customHeight="false" outlineLevel="0" collapsed="false">
      <c r="A10" s="5" t="n">
        <v>9</v>
      </c>
      <c r="B10" s="5" t="s">
        <v>266</v>
      </c>
      <c r="C10" s="5" t="s">
        <v>29</v>
      </c>
      <c r="D10" s="5" t="s">
        <v>736</v>
      </c>
      <c r="E10" s="5" t="s">
        <v>40</v>
      </c>
    </row>
    <row r="11" customFormat="false" ht="15" hidden="false" customHeight="false" outlineLevel="0" collapsed="false">
      <c r="A11" s="8" t="n">
        <v>10</v>
      </c>
      <c r="B11" s="8" t="s">
        <v>276</v>
      </c>
      <c r="C11" s="8" t="s">
        <v>28</v>
      </c>
      <c r="D11" s="8" t="s">
        <v>735</v>
      </c>
      <c r="E11" s="8" t="s">
        <v>79</v>
      </c>
    </row>
    <row r="12" customFormat="false" ht="15" hidden="false" customHeight="false" outlineLevel="0" collapsed="false">
      <c r="A12" s="5" t="n">
        <v>11</v>
      </c>
      <c r="B12" s="5" t="s">
        <v>283</v>
      </c>
      <c r="C12" s="5" t="s">
        <v>22</v>
      </c>
      <c r="D12" s="5" t="s">
        <v>738</v>
      </c>
      <c r="E12" s="5" t="s">
        <v>739</v>
      </c>
    </row>
    <row r="13" customFormat="false" ht="15" hidden="false" customHeight="false" outlineLevel="0" collapsed="false">
      <c r="A13" s="8" t="n">
        <v>12</v>
      </c>
      <c r="B13" s="8" t="s">
        <v>291</v>
      </c>
      <c r="C13" s="8" t="s">
        <v>22</v>
      </c>
      <c r="D13" s="8" t="s">
        <v>736</v>
      </c>
      <c r="E13" s="8" t="s">
        <v>740</v>
      </c>
    </row>
    <row r="14" customFormat="false" ht="15" hidden="false" customHeight="false" outlineLevel="0" collapsed="false">
      <c r="A14" s="5" t="n">
        <v>13</v>
      </c>
      <c r="B14" s="5" t="s">
        <v>322</v>
      </c>
      <c r="C14" s="5" t="s">
        <v>23</v>
      </c>
      <c r="D14" s="5" t="s">
        <v>736</v>
      </c>
      <c r="E14" s="5" t="s">
        <v>83</v>
      </c>
    </row>
    <row r="15" customFormat="false" ht="15" hidden="false" customHeight="false" outlineLevel="0" collapsed="false">
      <c r="A15" s="8" t="n">
        <v>14</v>
      </c>
      <c r="B15" s="8" t="s">
        <v>348</v>
      </c>
      <c r="C15" s="8" t="s">
        <v>27</v>
      </c>
      <c r="D15" s="8" t="s">
        <v>736</v>
      </c>
      <c r="E15" s="8" t="s">
        <v>38</v>
      </c>
    </row>
    <row r="16" customFormat="false" ht="15" hidden="false" customHeight="false" outlineLevel="0" collapsed="false">
      <c r="A16" s="5" t="n">
        <v>15</v>
      </c>
      <c r="B16" s="5" t="s">
        <v>364</v>
      </c>
      <c r="C16" s="5" t="s">
        <v>26</v>
      </c>
      <c r="D16" s="5" t="s">
        <v>741</v>
      </c>
      <c r="E16" s="5" t="s">
        <v>742</v>
      </c>
    </row>
    <row r="17" customFormat="false" ht="15" hidden="false" customHeight="false" outlineLevel="0" collapsed="false">
      <c r="A17" s="8" t="n">
        <v>16</v>
      </c>
      <c r="B17" s="8" t="s">
        <v>376</v>
      </c>
      <c r="C17" s="8" t="s">
        <v>26</v>
      </c>
      <c r="D17" s="8" t="s">
        <v>741</v>
      </c>
      <c r="E17" s="8" t="s">
        <v>743</v>
      </c>
    </row>
    <row r="18" customFormat="false" ht="15" hidden="false" customHeight="false" outlineLevel="0" collapsed="false">
      <c r="A18" s="5" t="n">
        <v>17</v>
      </c>
      <c r="B18" s="5" t="s">
        <v>380</v>
      </c>
      <c r="C18" s="5" t="s">
        <v>24</v>
      </c>
      <c r="D18" s="5" t="s">
        <v>737</v>
      </c>
      <c r="E18" s="5" t="s">
        <v>728</v>
      </c>
    </row>
    <row r="19" customFormat="false" ht="15" hidden="false" customHeight="false" outlineLevel="0" collapsed="false">
      <c r="A19" s="8" t="n">
        <v>18</v>
      </c>
      <c r="B19" s="8" t="s">
        <v>382</v>
      </c>
      <c r="C19" s="8" t="s">
        <v>29</v>
      </c>
      <c r="D19" s="8" t="s">
        <v>736</v>
      </c>
      <c r="E19" s="8" t="s">
        <v>40</v>
      </c>
    </row>
    <row r="20" customFormat="false" ht="15" hidden="false" customHeight="false" outlineLevel="0" collapsed="false">
      <c r="A20" s="5" t="n">
        <v>19</v>
      </c>
      <c r="B20" s="5" t="s">
        <v>388</v>
      </c>
      <c r="C20" s="5" t="s">
        <v>23</v>
      </c>
      <c r="D20" s="5" t="s">
        <v>736</v>
      </c>
      <c r="E20" s="5" t="s">
        <v>54</v>
      </c>
    </row>
    <row r="21" customFormat="false" ht="15" hidden="false" customHeight="false" outlineLevel="0" collapsed="false">
      <c r="A21" s="8" t="n">
        <v>20</v>
      </c>
      <c r="B21" s="8" t="s">
        <v>390</v>
      </c>
      <c r="C21" s="8" t="s">
        <v>26</v>
      </c>
      <c r="D21" s="8" t="s">
        <v>741</v>
      </c>
      <c r="E21" s="8" t="s">
        <v>744</v>
      </c>
    </row>
    <row r="22" customFormat="false" ht="15" hidden="false" customHeight="false" outlineLevel="0" collapsed="false">
      <c r="A22" s="5" t="n">
        <v>21</v>
      </c>
      <c r="B22" s="5" t="s">
        <v>414</v>
      </c>
      <c r="C22" s="5" t="s">
        <v>22</v>
      </c>
      <c r="D22" s="5" t="s">
        <v>736</v>
      </c>
      <c r="E22" s="5" t="s">
        <v>745</v>
      </c>
    </row>
    <row r="23" customFormat="false" ht="15" hidden="false" customHeight="false" outlineLevel="0" collapsed="false">
      <c r="A23" s="8" t="n">
        <v>22</v>
      </c>
      <c r="B23" s="8" t="s">
        <v>420</v>
      </c>
      <c r="C23" s="8" t="s">
        <v>27</v>
      </c>
      <c r="D23" s="8" t="s">
        <v>736</v>
      </c>
      <c r="E23" s="8" t="s">
        <v>62</v>
      </c>
    </row>
    <row r="24" customFormat="false" ht="15" hidden="false" customHeight="false" outlineLevel="0" collapsed="false">
      <c r="A24" s="5" t="n">
        <v>23</v>
      </c>
      <c r="B24" s="5" t="s">
        <v>424</v>
      </c>
      <c r="C24" s="5" t="s">
        <v>25</v>
      </c>
      <c r="D24" s="5" t="s">
        <v>736</v>
      </c>
      <c r="E24" s="5" t="s">
        <v>162</v>
      </c>
    </row>
    <row r="25" customFormat="false" ht="15" hidden="false" customHeight="false" outlineLevel="0" collapsed="false">
      <c r="A25" s="8" t="n">
        <v>24</v>
      </c>
      <c r="B25" s="8" t="s">
        <v>428</v>
      </c>
      <c r="C25" s="8" t="s">
        <v>25</v>
      </c>
      <c r="D25" s="8" t="s">
        <v>736</v>
      </c>
      <c r="E25" s="8" t="s">
        <v>106</v>
      </c>
    </row>
    <row r="26" customFormat="false" ht="15" hidden="false" customHeight="false" outlineLevel="0" collapsed="false">
      <c r="A26" s="5" t="n">
        <v>25</v>
      </c>
      <c r="B26" s="5" t="s">
        <v>430</v>
      </c>
      <c r="C26" s="5" t="s">
        <v>28</v>
      </c>
      <c r="D26" s="5" t="s">
        <v>735</v>
      </c>
      <c r="E26" s="5" t="s">
        <v>79</v>
      </c>
    </row>
    <row r="27" customFormat="false" ht="15" hidden="false" customHeight="false" outlineLevel="0" collapsed="false">
      <c r="A27" s="8" t="n">
        <v>26</v>
      </c>
      <c r="B27" s="8" t="s">
        <v>492</v>
      </c>
      <c r="C27" s="8" t="s">
        <v>28</v>
      </c>
      <c r="D27" s="8" t="s">
        <v>735</v>
      </c>
      <c r="E27" s="8" t="s">
        <v>79</v>
      </c>
    </row>
    <row r="28" customFormat="false" ht="15" hidden="false" customHeight="false" outlineLevel="0" collapsed="false">
      <c r="A28" s="5" t="n">
        <v>27</v>
      </c>
      <c r="B28" s="5" t="s">
        <v>502</v>
      </c>
      <c r="C28" s="5" t="s">
        <v>29</v>
      </c>
      <c r="D28" s="5" t="s">
        <v>736</v>
      </c>
      <c r="E28" s="5" t="s">
        <v>47</v>
      </c>
    </row>
    <row r="29" customFormat="false" ht="15" hidden="false" customHeight="false" outlineLevel="0" collapsed="false">
      <c r="A29" s="8" t="n">
        <v>28</v>
      </c>
      <c r="B29" s="8" t="s">
        <v>512</v>
      </c>
      <c r="C29" s="8" t="s">
        <v>22</v>
      </c>
      <c r="D29" s="8" t="s">
        <v>738</v>
      </c>
      <c r="E29" s="8" t="s">
        <v>746</v>
      </c>
    </row>
    <row r="30" customFormat="false" ht="15" hidden="false" customHeight="false" outlineLevel="0" collapsed="false">
      <c r="A30" s="5" t="n">
        <v>29</v>
      </c>
      <c r="B30" s="5" t="s">
        <v>522</v>
      </c>
      <c r="C30" s="5" t="s">
        <v>24</v>
      </c>
      <c r="D30" s="5" t="s">
        <v>737</v>
      </c>
      <c r="E30" s="5" t="s">
        <v>729</v>
      </c>
    </row>
    <row r="31" customFormat="false" ht="15" hidden="false" customHeight="false" outlineLevel="0" collapsed="false">
      <c r="A31" s="8" t="n">
        <v>30</v>
      </c>
      <c r="B31" s="8" t="s">
        <v>550</v>
      </c>
      <c r="C31" s="8" t="s">
        <v>28</v>
      </c>
      <c r="D31" s="8" t="s">
        <v>735</v>
      </c>
      <c r="E31" s="8" t="s">
        <v>46</v>
      </c>
    </row>
    <row r="32" customFormat="false" ht="15" hidden="false" customHeight="false" outlineLevel="0" collapsed="false">
      <c r="A32" s="5" t="n">
        <v>31</v>
      </c>
      <c r="B32" s="5" t="s">
        <v>564</v>
      </c>
      <c r="C32" s="5" t="s">
        <v>23</v>
      </c>
      <c r="D32" s="5" t="s">
        <v>736</v>
      </c>
      <c r="E32" s="5" t="s">
        <v>128</v>
      </c>
    </row>
    <row r="33" customFormat="false" ht="15" hidden="false" customHeight="false" outlineLevel="0" collapsed="false">
      <c r="A33" s="8" t="n">
        <v>32</v>
      </c>
      <c r="B33" s="8" t="s">
        <v>572</v>
      </c>
      <c r="C33" s="8" t="s">
        <v>27</v>
      </c>
      <c r="D33" s="8" t="s">
        <v>736</v>
      </c>
      <c r="E33" s="8" t="s">
        <v>45</v>
      </c>
    </row>
    <row r="34" customFormat="false" ht="15" hidden="false" customHeight="false" outlineLevel="0" collapsed="false">
      <c r="A34" s="5" t="n">
        <v>33</v>
      </c>
      <c r="B34" s="5" t="s">
        <v>574</v>
      </c>
      <c r="C34" s="5" t="s">
        <v>26</v>
      </c>
      <c r="D34" s="5" t="s">
        <v>736</v>
      </c>
      <c r="E34" s="5" t="s">
        <v>747</v>
      </c>
    </row>
    <row r="35" customFormat="false" ht="15" hidden="false" customHeight="false" outlineLevel="0" collapsed="false">
      <c r="A35" s="8" t="n">
        <v>34</v>
      </c>
      <c r="B35" s="8" t="s">
        <v>590</v>
      </c>
      <c r="C35" s="8" t="s">
        <v>23</v>
      </c>
      <c r="D35" s="8" t="s">
        <v>748</v>
      </c>
      <c r="E35" s="8" t="s">
        <v>90</v>
      </c>
    </row>
    <row r="36" customFormat="false" ht="15" hidden="false" customHeight="false" outlineLevel="0" collapsed="false">
      <c r="A36" s="5" t="n">
        <v>35</v>
      </c>
      <c r="B36" s="5" t="s">
        <v>593</v>
      </c>
      <c r="C36" s="5" t="s">
        <v>26</v>
      </c>
      <c r="D36" s="5" t="s">
        <v>736</v>
      </c>
      <c r="E36" s="5" t="s">
        <v>749</v>
      </c>
    </row>
    <row r="37" customFormat="false" ht="15" hidden="false" customHeight="false" outlineLevel="0" collapsed="false">
      <c r="A37" s="8" t="n">
        <v>36</v>
      </c>
      <c r="B37" s="8" t="s">
        <v>603</v>
      </c>
      <c r="C37" s="8" t="s">
        <v>25</v>
      </c>
      <c r="D37" s="8" t="s">
        <v>736</v>
      </c>
      <c r="E37" s="8" t="s">
        <v>96</v>
      </c>
    </row>
    <row r="38" customFormat="false" ht="15" hidden="false" customHeight="false" outlineLevel="0" collapsed="false">
      <c r="A38" s="5" t="n">
        <v>37</v>
      </c>
      <c r="B38" s="5" t="s">
        <v>641</v>
      </c>
      <c r="C38" s="5" t="s">
        <v>25</v>
      </c>
      <c r="D38" s="5" t="s">
        <v>736</v>
      </c>
      <c r="E38" s="5" t="s">
        <v>106</v>
      </c>
    </row>
    <row r="39" customFormat="false" ht="15" hidden="false" customHeight="false" outlineLevel="0" collapsed="false">
      <c r="A39" s="8" t="n">
        <v>38</v>
      </c>
      <c r="B39" s="8" t="s">
        <v>665</v>
      </c>
      <c r="C39" s="8" t="s">
        <v>27</v>
      </c>
      <c r="D39" s="8" t="s">
        <v>736</v>
      </c>
      <c r="E39" s="8" t="s">
        <v>38</v>
      </c>
    </row>
    <row r="40" customFormat="false" ht="15" hidden="false" customHeight="false" outlineLevel="0" collapsed="false">
      <c r="A40" s="5" t="n">
        <v>39</v>
      </c>
      <c r="B40" s="5" t="s">
        <v>671</v>
      </c>
      <c r="C40" s="5" t="s">
        <v>22</v>
      </c>
      <c r="D40" s="5" t="s">
        <v>738</v>
      </c>
      <c r="E40" s="5" t="s">
        <v>750</v>
      </c>
    </row>
    <row r="41" customFormat="false" ht="15" hidden="false" customHeight="false" outlineLevel="0" collapsed="false">
      <c r="A41" s="8" t="n">
        <v>40</v>
      </c>
      <c r="B41" s="8" t="s">
        <v>700</v>
      </c>
      <c r="C41" s="8" t="s">
        <v>29</v>
      </c>
      <c r="D41" s="8" t="s">
        <v>736</v>
      </c>
      <c r="E41" s="8" t="s">
        <v>52</v>
      </c>
    </row>
    <row r="42" customFormat="false" ht="15" hidden="false" customHeight="false" outlineLevel="0" collapsed="false">
      <c r="A42" s="5" t="n">
        <v>41</v>
      </c>
      <c r="B42" s="5" t="s">
        <v>708</v>
      </c>
      <c r="C42" s="5" t="s">
        <v>23</v>
      </c>
      <c r="D42" s="5" t="s">
        <v>736</v>
      </c>
      <c r="E42" s="5" t="s">
        <v>94</v>
      </c>
    </row>
    <row r="44" customFormat="false" ht="15" hidden="false" customHeight="false" outlineLevel="0" collapsed="false">
      <c r="C44" s="11" t="s">
        <v>751</v>
      </c>
    </row>
  </sheetData>
  <autoFilter ref="A1:E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2026-09-23T05:15:07Z</dcterms:created>
  <dc:creator>openpyxl</dc:creator>
  <dc:description/>
  <dc:language>en-US</dc:language>
  <cp:lastModifiedBy/>
  <dcterms:modified xsi:type="dcterms:W3CDTF">2026-09-23T05:15:07Z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